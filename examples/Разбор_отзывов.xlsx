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Отзывы" sheetId="1" state="visible" r:id="rId3"/>
    <sheet name="Сводка" sheetId="2" state="visible" r:id="rId4"/>
    <sheet name="Главные жалобы" sheetId="3" state="visible" r:id="rId5"/>
  </sheets>
  <definedNames>
    <definedName function="false" hidden="true" localSheetId="0" name="_xlnm._FilterDatabase" vbProcedure="false">Отзывы!$A$1:$D$301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<sst xmlns="http://schemas.openxmlformats.org/spreadsheetml/2006/main" count="928" uniqueCount="369">
  <si>
    <t xml:space="preserve">№</t>
  </si>
  <si>
    <t xml:space="preserve">Отзыв</t>
  </si>
  <si>
    <t xml:space="preserve">Тон</t>
  </si>
  <si>
    <t xml:space="preserve">Темы</t>
  </si>
  <si>
    <t xml:space="preserve">Много лишней ткани на спине, образуется горб и складки при движении, сильно шуршит при малейшем движении, строчки ровные, нитки не торчат, цвет красивый, но носить не буду уродует фигуру, в районе талии очень много лишней ткани, спереди как беременная, при том, что у меня плоский живот абсолютно и ношу я размер s, а сзади горб. Разочарование.</t>
  </si>
  <si>
    <t xml:space="preserve">отрицательный</t>
  </si>
  <si>
    <t xml:space="preserve">Размер и посадка, Качество ткани и пошива, Цвет</t>
  </si>
  <si>
    <t xml:space="preserve">Платье пришлось перешивать в боках, так как оно сшито на женщин с ооооочень большой пятой точкой.</t>
  </si>
  <si>
    <t xml:space="preserve">Размер и посадка</t>
  </si>
  <si>
    <t xml:space="preserve">Качество хуже,чем я покупала два года подряд,размер не соответствует,у меня российский 42-44,а заказала l на всякий случай,подошёл,но через несколько дней молния разошлась.</t>
  </si>
  <si>
    <t xml:space="preserve">Размер и посадка, Качество ткани и пошива</t>
  </si>
  <si>
    <t xml:space="preserve">Заказ полностью соответствует фото, хорошо подошло по размеру )"</t>
  </si>
  <si>
    <t xml:space="preserve">положительный</t>
  </si>
  <si>
    <t xml:space="preserve">Размер и посадка, Соответствие фото и описанию</t>
  </si>
  <si>
    <t xml:space="preserve">Кофта симпатичная, мягкая. Тоненькая синтетика. На 50/52 XXL села хорошо. Но носить нужно очень аккуратно, во избежание появления катышков. Качество так себе.</t>
  </si>
  <si>
    <t xml:space="preserve">нейтральный</t>
  </si>
  <si>
    <t xml:space="preserve">к сожалению почта напутала и посылку я не получила. но деньги вернули без проблем, поэтому 5 звёзд.</t>
  </si>
  <si>
    <t xml:space="preserve">Доставка и упаковка</t>
  </si>
  <si>
    <t xml:space="preserve">Заказала размер 8хл на обхваты 120-96-125см, великоват, но не сильно, можно было бы взять 7хл. Чуть ниже колено. Платье симпатичное, сшито ровно, сидит по фигуре. Доставка быстрая в Питер за 2 недели</t>
  </si>
  <si>
    <t xml:space="preserve">Размер и посадка, Качество ткани и пошива, Доставка и упаковка</t>
  </si>
  <si>
    <t xml:space="preserve">Пуховик очень красивый. Немного с блеском. Мех натуральный и очень пушистый, на фото будет видно. Сейчас в нем очень тепло, далее жарко. Осталось проверить, когда наступят более серьезные холода. Пока всё очень хорошо, рекомендуется к покупке.</t>
  </si>
  <si>
    <t xml:space="preserve">Качество ткани и пошива</t>
  </si>
  <si>
    <t xml:space="preserve">за возврат средств 5 звезд, товар не получила</t>
  </si>
  <si>
    <t xml:space="preserve">продавец присылает сообщения чтобы поставили хороший отзыв тогда он вернет 2$. По качеству синтетика, мне не понравилось, пришла с браком благодарен вмешательству али вернули деньги, продавец какашка.</t>
  </si>
  <si>
    <t xml:space="preserve">Качество ткани и пошива, Другое</t>
  </si>
  <si>
    <t xml:space="preserve">юбку заказала 11.11.2017 заказ пришёл только 10.01.2018, размер S оказался маленьким</t>
  </si>
  <si>
    <t xml:space="preserve">Размер и посадка, Доставка и упаковка</t>
  </si>
  <si>
    <t xml:space="preserve">не покупайте у этого продовца ничего! к своей работе относится безответственно! заказала черную рубашку, одной пуговицы нет, везде торчат нитки, другие пугавицы пришиты белыми нитками! ОТКРЫЛА СПОР, ВОТ УЖЕ 3-4 ДНЯ ВОЮЮ С ПРОДОВЦОМ, ЧТОБ ВЕРНУЛИ ДЕНЬГИ!! ОЧЕНЬ ПЛОХО!! НЕ СОВЕТУЮ!!</t>
  </si>
  <si>
    <t xml:space="preserve">маленькое, ткань плохая. заказывали такое же оранжевое у другого продавца- ткань лучше, размер в пору. хотя сфотографировано на одной и той же фотомодели, а оказалось разное.</t>
  </si>
  <si>
    <t xml:space="preserve">Размер и посадка, Качество ткани и пошива, Соответствие фото и описанию</t>
  </si>
  <si>
    <t xml:space="preserve">Свитер классный, очень модный, оверсайз Приятный цвет, крупная стильная вязка. Заказом довольна, рекомендую</t>
  </si>
  <si>
    <t xml:space="preserve">Качество ткани и пошива, Цвет</t>
  </si>
  <si>
    <t xml:space="preserve">товар шёл примерно месяц. продавец общительный. товаром доволен</t>
  </si>
  <si>
    <t xml:space="preserve">Доставка и упаковка, Другое</t>
  </si>
  <si>
    <t xml:space="preserve">классная футболка , ткань стреч , приятная к телу</t>
  </si>
  <si>
    <t xml:space="preserve">штаны еле нашел, ходить в них не возможно. зато кофта немного велика. в общем из комплекта можно носить только верх. деньги на ветер</t>
  </si>
  <si>
    <t xml:space="preserve">Размер и посадка, Цена</t>
  </si>
  <si>
    <t xml:space="preserve">Заказ не получила. Деньги не вернули. Отвратительно!</t>
  </si>
  <si>
    <t xml:space="preserve">Платье шло не долго,почитала отзывы и решила как всегда заказать размер М, по груди хорошо,а в бедрах тесновато,надо было брать L(((</t>
  </si>
  <si>
    <t xml:space="preserve">Платье очень красивое, на ОГ 104 и ОБ 102 заказала XXL, можно было и XL, но ничего ушью немного. По груди спокойно влезет и 108. Доставка 30 дней, продавец сначала дал чужой трек, а потом товар завис у нас, качество отличное, нитки не торчат, вышивка богатая, смотрится шикарно, можно и на праздник и хоть куда. Рекомендую.</t>
  </si>
  <si>
    <t xml:space="preserve">описанию вообще не соответствует. обычная длинная футболка, а белая ещё и прозрачная.</t>
  </si>
  <si>
    <t xml:space="preserve">Качество ткани и пошива, Соответствие фото и описанию</t>
  </si>
  <si>
    <t xml:space="preserve">Хорошая,приятная по размеру не подашла но носить можно я заказала М нужно было брать S,ткань приятная,но немного просвечивает</t>
  </si>
  <si>
    <t xml:space="preserve">ткань просто кошмарная, синтетика с начесом, тело будет потеть. на картинке кажется, что рукава длинные, но это кажется. на 44 р-р обтянуло, цвет соответствует, задумка хорошая, но ткань подвела</t>
  </si>
  <si>
    <t xml:space="preserve">Размер и посадка, Качество ткани и пошива, Соответствие фото и описанию, Цвет</t>
  </si>
  <si>
    <t xml:space="preserve">воротник растянут,как халат по дому ходить,пойдет</t>
  </si>
  <si>
    <t xml:space="preserve">Красивая, мягкая. Маме очень понравилась. Заказывайте не пожалеете!</t>
  </si>
  <si>
    <t xml:space="preserve">отличное качество, быстрая доставка, ткань приятная, размер подошёл,</t>
  </si>
  <si>
    <t xml:space="preserve">Карманы тупо сделаны увеличивают объём бёдер а и то что они в письку прям упираются как лосины блин, ужасный пошив на 3"</t>
  </si>
  <si>
    <t xml:space="preserve">ничего не торчит(я про нитки))) рукава длинные, сама накидка длинная) очень кайфовая)) заказывала белую, пришла за 2 недели, если не за 10 дней вообще-короче очень быстро)))"</t>
  </si>
  <si>
    <t xml:space="preserve">Качество ткани и пошива, Доставка и упаковка</t>
  </si>
  <si>
    <t xml:space="preserve">на свой 44 заказала 46,а он как будто 42/ Рубашка за свою стоимость хорошая, не просвечивает,пошита аккуратно. Легко получить затяжки.</t>
  </si>
  <si>
    <t xml:space="preserve">Размер и посадка, Качество ткани и пошива, Цена</t>
  </si>
  <si>
    <t xml:space="preserve">на плече большая дырка. больше не буду заказывать у этого продавца</t>
  </si>
  <si>
    <t xml:space="preserve">не пришел товар! продавец не хотел возвращать деньги, спасибо али, с помощью их я получила возрат</t>
  </si>
  <si>
    <t xml:space="preserve">Свитер просто классный. Сел хорошо, заказывала размер л на параметры 83-66-88. Не в обтяг. закажу еще другого цвета. рекомендую продавца )</t>
  </si>
  <si>
    <t xml:space="preserve">Заказывала в начале октября. До середины декабря никаких действий. Непонятно, получу ли что то вообще</t>
  </si>
  <si>
    <t xml:space="preserve">What a beautiful dress. the quality is super. delivery fast.perfect.</t>
  </si>
  <si>
    <t xml:space="preserve">ОН НЕ ЗАЩИЩАЕТ ОТ ВОДЫ!! Это не дождевик - это просто носовой платочек размером с куртку. Продавец возместил часть денег, но носить я это конечно же не буду.</t>
  </si>
  <si>
    <t xml:space="preserve">На 89-69-96 размер L будет большой. Продавец деньги не вернул.</t>
  </si>
  <si>
    <t xml:space="preserve">Размер и посадка, Другое</t>
  </si>
  <si>
    <t xml:space="preserve">Хорошие брюки, дошли за месяц. На рост 1.58 вес 44 - велики. Заказывала размер s/m</t>
  </si>
  <si>
    <t xml:space="preserve">Разменная сетка отсутствует, а потому платье катастрофически мало. Хотелось бы получить что-то взамен, хотя бы скидку при заказе другого размера платья.</t>
  </si>
  <si>
    <t xml:space="preserve">Заказ был сделан 11 ноября,пришёл 2декабря На мои параметры105-94-107 заказала L Такое малюсенькое боди! Я натянула и стала стройняшка! Всё хорошо,понравилось Спасибо продавцу оперативно сработал! С продавцом не общалась</t>
  </si>
  <si>
    <t xml:space="preserve">Платье пришло большое не по размеру, короткое ещё. Паетки уаеличивают</t>
  </si>
  <si>
    <t xml:space="preserve">Спасибо большое! Кофта пришла в отличном состоянии, без запаха! Заказывала 11.11 получила 27.11. Все понравилось! Фото добавлю чуть позже! Продавца рекомендую!</t>
  </si>
  <si>
    <t xml:space="preserve">Качеством довольна, сшита хорошо и не одной торчащей нитки, только для зимы она холодная, скорее весна-осень. Размер подошёл</t>
  </si>
  <si>
    <t xml:space="preserve">брала два серый и белый, себе и на подарок. Понравились оба на размер 48-50 сидят очень хорошо прикрывают попу и живот . Очень стильно. Прилетели за две недели в Краснодарский к-й. Продавцу ⭐⭐⭐⭐⭐</t>
  </si>
  <si>
    <t xml:space="preserve">Сам воротничок очень понравился. Может чуть чуть бы побольше саму манишку. Но это так, ворчу.</t>
  </si>
  <si>
    <t xml:space="preserve">довольна продавцом! платье не пришло, деньги вернули!</t>
  </si>
  <si>
    <t xml:space="preserve">качество не очень. на фото видно строчки местами нет, дырка в шве. по ногам хорошо, а в талии свободно. передняя и задняя часть скроены одинаково и получается когда оденешь, что перед длиннее, а задняя часть короче, конечно же из за наличия попы. но так не должно быть, у меня есть подобные штаны и у них все отлично.</t>
  </si>
  <si>
    <t xml:space="preserve">на картинке красиво. а моей жене не понравилось. так что оценивать особо нечего. без обид.</t>
  </si>
  <si>
    <t xml:space="preserve">Соответствие фото и описанию</t>
  </si>
  <si>
    <t xml:space="preserve">качество хорошее, швы все аккуратные, нитки не торчат, приятные, хорошо сидят. пояс широкий из трикотажного материала без резинок, не держит штаны , не знаю, как будут сидеть на тренировке.</t>
  </si>
  <si>
    <t xml:space="preserve">Товар не пришел...открыла спор....деньги не вернули......</t>
  </si>
  <si>
    <t xml:space="preserve">Товар не пришёл , продавец деньги вернул, хотя изначально просил закрыть спор и дождаться посылки , но слава богу я не закрыла спор , потому что времени прошло много ,а товара нет)))</t>
  </si>
  <si>
    <t xml:space="preserve">Мягкий и тёплый, пришел за месяц. Удобно, что треугольной формы. Очень классная вещь и общительный продавец! Советую!</t>
  </si>
  <si>
    <t xml:space="preserve">Качество ткани и пошива, Доставка и упаковка, Другое</t>
  </si>
  <si>
    <t xml:space="preserve">Отличные шапочки, тёплые, без запаха и смотрятся классно! Спасибо!</t>
  </si>
  <si>
    <t xml:space="preserve">Товар пришёл ужасного качества. Платье только выкинуть. Открыла спор. Но его закрыли. Никогда больше не буду заказывать у этого продавца и не кому не советую.</t>
  </si>
  <si>
    <t xml:space="preserve">11.11 заказала с почты забрала 29.11 быстрая доставка. Долго гонялась за этим платье ( не было моего размера). Великолепное платье и это уже не первый мой заказ. Аля Пугачева)) Пошив хороший, платье красивое по размеру. Рекомендую продавца и магазин. Продавцу отдельное спасибо за быстрое контактирование. ☆☆☆☆☆</t>
  </si>
  <si>
    <t xml:space="preserve">Рекомендую. Спасибо. Всё по размеру. Продавец корректный.</t>
  </si>
  <si>
    <t xml:space="preserve">Быстрая доставка,но кофта чуть коротковата</t>
  </si>
  <si>
    <t xml:space="preserve">ставлю 5 звёзд! джинсы супер, размер подошёл, радует цена, а особенно рада доставке! продавец отправил товар сразу же в момент заказа и они пришли уже через 11 дней</t>
  </si>
  <si>
    <t xml:space="preserve">Размер и посадка, Доставка и упаковка, Цена</t>
  </si>
  <si>
    <t xml:space="preserve">хорошее качество,но на высокий рост будут брюки короткие</t>
  </si>
  <si>
    <t xml:space="preserve">Велика и коротка, хотя по таблице должна была подойти. Недовольна.</t>
  </si>
  <si>
    <t xml:space="preserve">рукава ужасно короткие. вырез маленький. качество оставляет желать лучшего</t>
  </si>
  <si>
    <t xml:space="preserve">Слишком малый.Пустая трата денег,моя жена и так худая,и не высокая,незнаю на кого её шили.Просто жалко денег.</t>
  </si>
  <si>
    <t xml:space="preserve">на фото рукава совершенно другие, по факту они капроновые и темные .Совершенно не такие,разочарована покупкой.Расцветка леопарда не на белом фоне,как на фотографии,а на грязно-коричневом,кофта не понравилась</t>
  </si>
  <si>
    <t xml:space="preserve">Соответствие фото и описанию, Цвет</t>
  </si>
  <si>
    <t xml:space="preserve">Доставка быстрая, продавец положил подарочек, очень приятно. Свитер 100% акрил, мягкий, очень приятный к телу. на 48 размер брала XL, сел свободно как на фотографии. Вообщем за свои деньги очень даже нечего.</t>
  </si>
  <si>
    <t xml:space="preserve">Размер и посадка, Качество ткани и пошива, Доставка и упаковка, Цена</t>
  </si>
  <si>
    <t xml:space="preserve">Шорты сильно красятся. Возможно, стирка смогла бы все исправить, но экспериментировать я не стала. В общем полетели шорты в помойку.</t>
  </si>
  <si>
    <t xml:space="preserve">Товар шёл долго, хотя я оплатила быструю доставку ( на тот момент она была). Не понравилось, что продавец предоставил неверную информацию о составе ткани. За это через спор вернула часть денег.</t>
  </si>
  <si>
    <t xml:space="preserve">Соответствие фото и описанию, Доставка и упаковка</t>
  </si>
  <si>
    <t xml:space="preserve">заказ пришел быстро. во время стирки линяют. технический запах плохо выветривается. но колготки теплые и удобные. подходят как для длинных ног, так и для полных.</t>
  </si>
  <si>
    <t xml:space="preserve">Сидит ужасно! Возможно на ОЧЕНЬ худой девушке будет хорошо. Чулки сдавливают ляжки, а пояс и пояс-то не напоминает. Но за эти деньги вполне себе приятный материал, без запаха и зацепок.</t>
  </si>
  <si>
    <t xml:space="preserve">Кутка просто класс.Качество хорошее,брака нет,бирочки есть,доставка быстрая.Продавцу спасибо.</t>
  </si>
  <si>
    <t xml:space="preserve">Платье мало того что не пришло вовсе так ещё и деньги за него не вернули, я не корыстный и ушлый человек и не пыталась вернуть деньги за полученный товар! Такой случай со мной впервые, не пластичный продавец!</t>
  </si>
  <si>
    <t xml:space="preserve">На рост 154 рукава КОРОТКИЕ..ЦВЕТ- МОЛОЧНЫЙ с желтым отливом, а НЕ белый!!!!! Пряжа хоть и мягкая , но очень дёшево смотрится.</t>
  </si>
  <si>
    <t xml:space="preserve">Посылка шла чуть меньше месяца,трек отслеживался. Посылка хорошо упакована. Немного бледнее, чем на фото,но все равно отличная кофта. Продавца рекомендую.</t>
  </si>
  <si>
    <t xml:space="preserve">Соответствие фото и описанию, Цвет, Доставка и упаковка</t>
  </si>
  <si>
    <t xml:space="preserve">Дефект виден при растяжение, т.е. когда одеваешь. Открыла спор."</t>
  </si>
  <si>
    <t xml:space="preserve">качество не плохое самой кофты,но сшитого ужасно, на фотках сами увидите. поэтому 1 звезда, приехала кофта быстро.</t>
  </si>
  <si>
    <t xml:space="preserve">Заказываю в этом магазине второй раз. Заказ пришёл быстро! Футболка хорошего качества. Ткань плотная, хлопковая и очень приятная к телу. Рисунок - это термонаклейка. Она пришита к футболке. Я довольна заказом!!!</t>
  </si>
  <si>
    <t xml:space="preserve">Качество дешевой синтетической футболки, ткань тонкая, электрилезуется. Жаль потраченных денег. Размер L на размер 44-46 оказался мал.</t>
  </si>
  <si>
    <t xml:space="preserve">Вещь хорошего качества,материал приятен на ощупь.НО!Надо брать на размер больше,мало для жены моей,хотя размер подбирали по таблице...</t>
  </si>
  <si>
    <t xml:space="preserve">заказала 31.05 получила 4.07. трек не отслеживался. кардиган тонкий,на лето самое то. Заказывала l на рус.42 длина норм,а рукава короткие.(нужно было заказать xl)</t>
  </si>
  <si>
    <t xml:space="preserve">потрясное платье! на ОБ 94 взяла s.отлично подошло! до Питера пришло за 2,5 недели. курьер привёз на дом!</t>
  </si>
  <si>
    <t xml:space="preserve">К сожалкнию посылка так и не пришла после долгих споров Али вернули деньги.</t>
  </si>
  <si>
    <t xml:space="preserve">Кофта отличного качества, приятная к телу. На российский 46-48 р-р М сел идеально.</t>
  </si>
  <si>
    <t xml:space="preserve">качество материала хотелось бы получше. на фото выглядит лучше чем в реальности.</t>
  </si>
  <si>
    <t xml:space="preserve">Ужасное качество платья, то что на картинке не соответствует реальности, выгледит как половая тряпка, не советую брать.</t>
  </si>
  <si>
    <t xml:space="preserve">не по размеру маленький. качество плохое</t>
  </si>
  <si>
    <t xml:space="preserve">лосины просто супер. Очень теплые, смотрятся хорошо. Немного не угадала с размером. С бедрами 108 заказа 5xl немного велики. А так очень понравились. Рекомендую. Заказывайте не пожалеете. Доставка быстрая. Продавец молодец. Спасибо</t>
  </si>
  <si>
    <t xml:space="preserve">Кофточка хорошая. Приятная к телу. Размер соответствует. Постирали, сильно красит, не садится. С продавцом не общалась, не было необходимости.</t>
  </si>
  <si>
    <t xml:space="preserve">Крутая кофта. НО сразу после первой стирки вылетел фиксатор((( обидно..... то есть вещь одноразовая. Очень жаль, тк красивая.....((( придётся выбросить не поносив((((</t>
  </si>
  <si>
    <t xml:space="preserve">Заказала 10.08.17, моё зеленое платье пришло в Новосибирск 07.10.17 за 52 дней. Хотя в этот же день и время заказала ещё розовое, но оно пришло быстрее всего за 19 дней.</t>
  </si>
  <si>
    <t xml:space="preserve">за четыре месяца так и не пришла((( деньги вернули</t>
  </si>
  <si>
    <t xml:space="preserve">Пуховик по размеру, можно под одевать кофту, цвет такой же как и на фото . По качеству понравилось. Пришло за 18 дней. Прислушалась к советам магазина.</t>
  </si>
  <si>
    <t xml:space="preserve">Размер и посадка, Качество ткани и пошива, Соответствие фото и описанию, Цвет, Доставка и упаковка</t>
  </si>
  <si>
    <t xml:space="preserve">Товар выглядет как шарф на рост 160 он очень короткий, открыты и пост и спина, не точное соответствие</t>
  </si>
  <si>
    <t xml:space="preserve">Очень крутые, милые гольфы, удобные и красивые. Очень быстро пришли.</t>
  </si>
  <si>
    <t xml:space="preserve">Быстрая доставка, примерно 2,5 недели. Но размер М (на наш 44) оказалась велика, с правого края если ушить, но возможно можно будет носить.Футболка тянется. Качество среднее,есть в составе хлопок.Модель оригинальная, но ставлю 3*, т.к. придется еще переделывать, чтобы носить</t>
  </si>
  <si>
    <t xml:space="preserve">я ожидала получше качество так себе не очень и ждала месяц почти</t>
  </si>
  <si>
    <t xml:space="preserve">юбка хорошая, до МО довольно быстро (менее месяца) очень хорошо тянется, качество приятное на ощупь, ну она реально на худышек, у кого есть маленький животик, смотрится так себе, подарила подруге, а вообще очень классная)))</t>
  </si>
  <si>
    <t xml:space="preserve">Кардиган пришёл с затяжками, и далеко не с одной. И размер, конечно где-то на 46-48</t>
  </si>
  <si>
    <t xml:space="preserve">широкая, п плечах нормально,а дальше широко.</t>
  </si>
  <si>
    <t xml:space="preserve">Рубашка ужасная!! Не отпаривается и не отглаживается совсем! Если вы любите ходить в мятой одежде, то пожалуйста!</t>
  </si>
  <si>
    <t xml:space="preserve">все ок. на размер 48-50. для роста 170 длина по щиколотку.</t>
  </si>
  <si>
    <t xml:space="preserve">товар шел месяц ....посылка отслеживалась Всё хорошо ....но когда я получила ...я оболдела. ..одни дырки на фото будет видно...померить не реально вообще Всё сразу рвется и распускаются нитки ....так то сорочка красивая ....но я целый день сидела и зашивала(((((</t>
  </si>
  <si>
    <t xml:space="preserve">Что могу сказать. Продавец отправил товар не в тот город. Пришлось открывать спор,продавец не хотел возвращать деньги,но в конце ему пришлось согласиться с предложением Али. Деньги вернул. Так что норм</t>
  </si>
  <si>
    <t xml:space="preserve">заказала 20 октября.получила получила 8 ноября.суперские шапочки. мягенькие.цвет, хороший.рекомендую всем девушкам,кто не может купить себе шапку по причине не подходят. эти всем подходят.сама по себе знаю.черная и белая.</t>
  </si>
  <si>
    <t xml:space="preserve">Размер и посадка, Качество ткани и пошива, Цвет, Доставка и упаковка</t>
  </si>
  <si>
    <t xml:space="preserve">заказ не получила, открыла спор, он был решен в мою пользу, но деньги так и не вернули!!! заказала 5 штук. очень разочарованна!</t>
  </si>
  <si>
    <t xml:space="preserve">отслеживался, быстро пришла 15 дней до Камчатки,качество отличное, на р.44,рост 162 подошла</t>
  </si>
  <si>
    <t xml:space="preserve">кофта хорошая.но размер с на девочку 12 лет</t>
  </si>
  <si>
    <t xml:space="preserve">хороший свитер L на грудь 98 сидит свободно как на фото</t>
  </si>
  <si>
    <t xml:space="preserve">Спасибо продавцу. На размер 48—50 с большими плечами села отлично.</t>
  </si>
  <si>
    <t xml:space="preserve">Не получила товар, продавец не ответил даже на сообщение</t>
  </si>
  <si>
    <t xml:space="preserve">Все хорошо, товар пришёл ооочень быстро, даже курьер его принёс. Курьером вообще не довольна, но это проблемы курьерской доставки. Качество хорошее, немного коротковат</t>
  </si>
  <si>
    <t xml:space="preserve">Не доставлен товар, продлевали закупку, так и не дождались, вернули деньги</t>
  </si>
  <si>
    <t xml:space="preserve">Товар не пришел,деньги не вернули.Продавец обещал что товар будет,но не товара не денег.Ждала пол года.Спор открыла,но его почему-то закрыли.Очень расстроена.Не заказывайте у этого продавца,если не хотите остаться без товара и без денег.</t>
  </si>
  <si>
    <t xml:space="preserve">Супер-быстрая доставка - 10 дней. Запах был. Взяла на свой XS-S размер M, думала, что маломерит, но нет. На ощупь чистая синтетика. В принципе что ожидала, то и получила. Мне нравится.</t>
  </si>
  <si>
    <t xml:space="preserve">Качество отличное. Ткань плотная, приятная к телу. Цвет темно-синий. На свой 46 размер, по совету продавца заказала XL. Села отлично.</t>
  </si>
  <si>
    <t xml:space="preserve">Товар не пришел. Трек не отслеживался спор не стал открывать так как время ожидания прошло. Заказывал матери очень неприятно получилось. У этого продавца больше заказывать не буду!</t>
  </si>
  <si>
    <t xml:space="preserve">Очень маленький размер.Мой размер 46,заказал размер L и оказался очень мал</t>
  </si>
  <si>
    <t xml:space="preserve">заказывала 50 размер. кофта по ОГ 100см. запаса нет никакого. потратила деньги зря!</t>
  </si>
  <si>
    <t xml:space="preserve">Не советую что-либо приобретать у этого продавца!"</t>
  </si>
  <si>
    <t xml:space="preserve">Другое</t>
  </si>
  <si>
    <t xml:space="preserve">Платье хорошее,на классический 42размер заказала S,подошло идеально,на рост 162 сильно ниже колена ,буду укорачивать. Единственный минус цвет:заказала бордовый от фото отличается сильно,пришел скорее темно-красный,но совсем не бордовый. Доставка три недели.</t>
  </si>
  <si>
    <t xml:space="preserve">Размер и посадка, Соответствие фото и описанию, Цвет, Доставка и упаковка</t>
  </si>
  <si>
    <t xml:space="preserve">джинсы отличного качества. доставка епакетом очень быстрая, меньше двух недель в Крым. очень удачный покрой, красиво смотрится на любой фигуре (брала себе и маме). Продавца рекомендую!</t>
  </si>
  <si>
    <t xml:space="preserve">Они не кожаные и даже не искусственная кожа, а просто блестящая тряпка</t>
  </si>
  <si>
    <t xml:space="preserve">Просто ремок, синтетика, аж хрустит. Рукава до колена. Заказывайте свой размер, так как она большая. Пришла за полтора месяца, трек отслеживался.</t>
  </si>
  <si>
    <t xml:space="preserve">цвет не такой как на фото. заказывала зеленое, просвечивает, нитки торчат, очень короткое</t>
  </si>
  <si>
    <t xml:space="preserve">на чёрном горошке внизу белая полоса, непрокрас... не сильно видно, но и одевать не буду.. очень жаль, а так блузка симпотичная</t>
  </si>
  <si>
    <t xml:space="preserve">Заказала три пары колготок, пришли все с браком в окрашивании - полосы вдоль ноги. Деньги продавец вернул</t>
  </si>
  <si>
    <t xml:space="preserve">К сожалению продавец не удостоил меня порадоваться товаром, юбка ко мне не пришла, продавец на контакт не вышел. Не рекомендую.</t>
  </si>
  <si>
    <t xml:space="preserve">Доставка в течении 15 дней на дом , немного не подходит в плечах</t>
  </si>
  <si>
    <t xml:space="preserve">спустя 3 месяца заказ не пришёл, деньги вернули, очень расстроена</t>
  </si>
  <si>
    <t xml:space="preserve">джинсы хорошие, но на на штанине была дырка, очень растроило</t>
  </si>
  <si>
    <t xml:space="preserve">Не по размеру,продлевали защиту товара,долго шло,не понравилась.</t>
  </si>
  <si>
    <t xml:space="preserve">Ткань тонкая , бежевая кофта прозрачная ! Быстро растянется и поколется катушками ! Брать больше не буду , либо только с темном цвете !</t>
  </si>
  <si>
    <t xml:space="preserve">Сами трусики аккуратные. Ничего не торчит, сшиты хорошо."</t>
  </si>
  <si>
    <t xml:space="preserve">Товар на протяжении двух месяцев не был получен,товар не отслеживается.Продавец отказался вернуть деньги,не советую с ним связываться!ужас!</t>
  </si>
  <si>
    <t xml:space="preserve">Доставка быстрая, но качество плохое, синтетика</t>
  </si>
  <si>
    <t xml:space="preserve">кофта так и не пришла!( Деньги вернули спустя три месяца</t>
  </si>
  <si>
    <t xml:space="preserve">Майка ужас. Вся просвечивается. Размер не совпадает.</t>
  </si>
  <si>
    <t xml:space="preserve">Качество такое плохое, что дальше,чем ходить дома не вариант. Ожидала большего, тут писали и на др одевали и тд, ну не знаю.... такую фигню дома ходить я бы честно и за 150р брать не стала</t>
  </si>
  <si>
    <t xml:space="preserve">Качество ткани и пошива, Цена</t>
  </si>
  <si>
    <t xml:space="preserve">Отвратительное качество товара. Доставка 3-4 недели. Цена этой вещи - 200р. Леггенсы сшиты плохо, пришли с дырками. Изначально неверный крой. Они тянутся по горизонтали, а по вертикали вообще нет. На рост 173 и вес 50кг. Оказались велики. Продавец деньги не возвращает за товар. Абсолютно не рекомендую эту вещь.</t>
  </si>
  <si>
    <t xml:space="preserve">Размер и посадка, Качество ткани и пошива, Доставка и упаковка, Цена, Другое</t>
  </si>
  <si>
    <t xml:space="preserve">Велико и на картинке интереснее. Товар не понравился .</t>
  </si>
  <si>
    <t xml:space="preserve">Quality is good, but I think waistline of the dress is too high, that’s why it looks like a dress for a pregnant woman, but in general it’s pretty good. Delivery is month to sbp. My measurements 90-74-102</t>
  </si>
  <si>
    <t xml:space="preserve">Все отлично! заказала на 50-52 русский, 2 xl села футболочка как на меня шили! пожалуй закажу еще, другого цвета!</t>
  </si>
  <si>
    <t xml:space="preserve">Куртка пришла меньше чем за месяц.Не каких торчащих ниток,замки работают отлично.Курьер привез на дом.С прадовцом не общалась,но всеравно большое спасибо!Курткой очень довольна,буду еще дочки заказывать!</t>
  </si>
  <si>
    <t xml:space="preserve">не чего не отправил,просил спор закрыть,все решилось через али экспресс</t>
  </si>
  <si>
    <t xml:space="preserve">Товар не пришёл, продавец вернул деньги. Очень быстро, спасибо</t>
  </si>
  <si>
    <t xml:space="preserve">Приятный тонкий, но не просвечивающий материал, отлично тянется, швы ровные и качественные. Быстрая доставка. Мне с моим ростом 162 см немного длинные, но это вообще не проблема. Спасибо :)</t>
  </si>
  <si>
    <t xml:space="preserve">Платье понравилось. На мой российский р.42 брала М. По размеру подошло, но коротковато, для работы слишком вызывающе.</t>
  </si>
  <si>
    <t xml:space="preserve">куртка просто класс! Я очень довольна, села отлично, хотя заказывала не самый большой размер, а у меня ОБ-130 см, цвет очень красивый, ткань имеет блеск, на вес лёгкая, как тонкий синтепон, но мне показалась теплая, до -5 буду носить.Спасибо!</t>
  </si>
  <si>
    <t xml:space="preserve">сегодня 23.11 получила свою посылку. колготки очень хорошие,толстые размер м на 44. Спасибо продавцу.</t>
  </si>
  <si>
    <t xml:space="preserve">Заказываю второй раз у этого продавца. Заказала 11 декабря, пришло уже 27го, но не было времени забрать, праздники. Качество хорошее. с размером угадала. Советую. Опять бонусом положили резиночку, приятно.</t>
  </si>
  <si>
    <t xml:space="preserve">рисунок с одной стороны, не помещается на изделие полностью. задняя часть просто белая</t>
  </si>
  <si>
    <t xml:space="preserve">Рубашка хорошего качества, подошла идеально.Доставка до Кургана 20 дней.Продавцу спасибо, закажу ещё.</t>
  </si>
  <si>
    <t xml:space="preserve">Юбка хорошего качества. Материал плотный.</t>
  </si>
  <si>
    <t xml:space="preserve">Доставка в МО почти месяц. Качество отличное, на 48 размер XXL в самый раз. Плюс был маленький подарочек</t>
  </si>
  <si>
    <t xml:space="preserve">Хороший товар по доступной цене. Посылка доставлена в Ульяновск за 30 дней, трек отслеживался. Рекомендую товар и продавца.</t>
  </si>
  <si>
    <t xml:space="preserve">Доставка и упаковка, Цена</t>
  </si>
  <si>
    <t xml:space="preserve">Вместо сорочки прислали какие то розовые пакеты. Деньги не вернули. Продавца не рекомендую</t>
  </si>
  <si>
    <t xml:space="preserve">полное несоответствие и фото продавца, и отзывам покупателей, причём раньше заказывала, приходили отличные жилеты. теперь без карманов, очень маломерят,мех не распушился после фена.</t>
  </si>
  <si>
    <t xml:space="preserve">Ждала заказа 2 с половиной месяца. После того, как открыла спор, продавец слёзно попросил спор закрыть, дабы не портить ему репутацию. Я поверила и спор закрыла....Осталась и без денег и без товара. Больше у этого продавца заказывать не буду и Вам не советую.</t>
  </si>
  <si>
    <t xml:space="preserve">Товар качественный. По размеру подошел. Супруга довольна. Рекомендую.</t>
  </si>
  <si>
    <t xml:space="preserve">Заказ так и не пришёл. Хотя по трек-номеру он считается доставленным. Но почему-то в совершенно другой город. Писала об этом продавцу, но так и не получила ответ:( очень жалко</t>
  </si>
  <si>
    <t xml:space="preserve">Качество хорошее, 42-44 заказа L. пришли за 19 дней</t>
  </si>
  <si>
    <t xml:space="preserve">Пришёл заказ быстро, долго доставлялся именно с распределительного центра в городе. Что касается самого товара, качество оставляет желать лучшего, кривые швы, сборки по талии как таковые отсутствуют, просто прямое.</t>
  </si>
  <si>
    <t xml:space="preserve">хорошие. заказываю 2ой раз. на бедра 100 L.</t>
  </si>
  <si>
    <t xml:space="preserve">Пижаму так и не получила.Продавец не связывался и не продлил защиту покупателя</t>
  </si>
  <si>
    <t xml:space="preserve">На свой размер 44-46 (рост 172)заказала L, куртка на синтепоне , мех натуральный ,рукава короткие (не критично , буду пришивать манжеты )Правда парка полнит, выгляжу на размер 48-50. У нас в любом случае подобного рода парки стоят в несколько раз дороже . Рекомендую .</t>
  </si>
  <si>
    <t xml:space="preserve">доставка долгая, не отслеживался. Трусы очень маленькие, написано размер L, но на самом деле S</t>
  </si>
  <si>
    <t xml:space="preserve">платье классное немного было ниток и швы в под юбнике не аккуратны но за такие деньги у нас не купить</t>
  </si>
  <si>
    <t xml:space="preserve">Кофта разошлась при первой носке. Ношу размер 44, кофта села не в натяг. Открыла спор, решили, что кофту нужно вернуть, мне это не нужно- за отправку в Китай мне пришлось бы платить 900 рублей. Зачем оно мне</t>
  </si>
  <si>
    <t xml:space="preserve">Водолазка по размеру разве что на ребёнка! Качество ужасное. Прозрачная.</t>
  </si>
  <si>
    <t xml:space="preserve">Обманщик!не покупайте у него.ничего не высылает.али вернут деньги</t>
  </si>
  <si>
    <t xml:space="preserve">Оценить заказ не могу , платье не пришло, продавец просто обманул и на вопросы по заказу не отвечал. Деньги за это не пришедшее платье не вернули. Очень прикольно, что нужно указать по размеру ли мне не пришедшее платье, по размеру или может мало?</t>
  </si>
  <si>
    <t xml:space="preserve">Товар ехал более 2 месяцев. Продавец игнорирует, приехала пижама с браком, протертая коленка, через службу Алиэкспрес ели добился вернуть мне 50% за товар. Здесь я заказывать больше не буду и вам не советую. А там дело ваше.</t>
  </si>
  <si>
    <t xml:space="preserve">Несоответствие размера, xxl только на 46 р. , розовое пятно на самом видном месте, но за эти деньги , наверно, лучшего не приходится ждать)))</t>
  </si>
  <si>
    <t xml:space="preserve">ужас, заказала размер М, а пришёл громадный мешок, очень сильно висит, качество ужасное, продавец деньги не вернул</t>
  </si>
  <si>
    <t xml:space="preserve">Размер и посадка, Качество ткани и пошива, Другое</t>
  </si>
  <si>
    <t xml:space="preserve">Водолазка хорошая, не короткая и на мой 170 рост и 88-70 села очень даже отлично. На ощупь мягкая и приятная, хорошо тянется. Но, была небольшая дырка, которую я заметила не сразу, пришлось зашить. Если бы не это заказала еще.</t>
  </si>
  <si>
    <t xml:space="preserve">Качество очень хорошее, мягкая, приятная на ощупь. Очень довольны!</t>
  </si>
  <si>
    <t xml:space="preserve">Оооочень тонкая куртка, даже не знаю, когда ее можно носить. Все целое,но пух лезет</t>
  </si>
  <si>
    <t xml:space="preserve">Платье просто шикарное! Особенно рекомендую девушкам с фигурой песочные часы. Заказала М на параметры 90-74_98. Цвет синий. Отлично смотрится с укороченными пиджаками. Доставка быстрая, отслеживался трек.</t>
  </si>
  <si>
    <t xml:space="preserve">Размер и посадка, Цвет, Доставка и упаковка</t>
  </si>
  <si>
    <t xml:space="preserve">Тонкое, просвечает, синтетика, не соответствует размерной сетке</t>
  </si>
  <si>
    <t xml:space="preserve">На параметры 88:60:90 взяла размер М , нужно было все таки послушать девушек, которые писали в комментариях и брать s. Костюм сидит немного большевато , но не критично ! Пошив фабричный отличный , синтетика , но приятная к телу , очень сильно мнётся и видно нижнее белье .</t>
  </si>
  <si>
    <t xml:space="preserve">ткань синтетика не приятная к телу. после стирки часть нашивки отвалилась. из за того что цветы на клее и пристрочены низ стоит колом, а не как на фото мягко ложится. попробовала убрать но местами клей остался на ткани. буду делать вышивку поверх старой. вот только буду носить? большой вопрос. не купила бы такое в магазине.</t>
  </si>
  <si>
    <t xml:space="preserve">Платье красивое, но пришло с неровной аппликацией.</t>
  </si>
  <si>
    <t xml:space="preserve">Заказывала подруге, себе заказывала в октябре, качество супер был, то что заказали подруге очень не понравилось, материал куртки как у душевого зонтика, везде торчат нитки, не советую</t>
  </si>
  <si>
    <t xml:space="preserve">Товар не пришёл!!!! Не советую этого продавда 100℅!!! Многих уже кидвл, я в этом убедилась!!!(((</t>
  </si>
  <si>
    <t xml:space="preserve">хлопок белье - точное описание ткани, а не шутка. Это хлопок, а не лен. И размер - маломерный, заказывайте побольше, чем обычно. Сшито хорошо. Подойдет как пляжное платье.</t>
  </si>
  <si>
    <t xml:space="preserve">There is not enough free space. M. The color is dim. The site is brighter than it really is.</t>
  </si>
  <si>
    <t xml:space="preserve">Размер и посадка, Соответствие фото и описанию, Цвет</t>
  </si>
  <si>
    <t xml:space="preserve">не соответствует описанию, не ровные швы, возле молнии дырочка, местами вылазиют нитки.</t>
  </si>
  <si>
    <t xml:space="preserve">Моя красавица! обалденная!ткань приятная, похоже большая часть натуральная, легкая, дышит, мнется слабо.на 96х80х104 плечи 40, Lка подошла изумительно, рукава в пору.ниточек нет, пуговки крепко пришиты.можно носить как с рукавами длинными, так и есть хлястики чтобы собрать. о, я в восторге!</t>
  </si>
  <si>
    <t xml:space="preserve">До Питера дошли около двух недель, трек отслеживался!"</t>
  </si>
  <si>
    <t xml:space="preserve">Качество плохое, тряпочка. Ожидала, что будет лучше.</t>
  </si>
  <si>
    <t xml:space="preserve">This dress is a must buy!!! Fits perfect and the material is everything!!! Received so many compliments, thinking of buying another color</t>
  </si>
  <si>
    <t xml:space="preserve">юбка такая же как на фото!!смотрится очень женственно!</t>
  </si>
  <si>
    <t xml:space="preserve">товар очень плохого качества, швы неровные, рисунок не совпадает. Открыла спор деньги вернули</t>
  </si>
  <si>
    <t xml:space="preserve">ОГ 120 у меня, сидит идеально (как впрочем вся их продукция)!!! Рекомендую всем!!! При моем росте колено закрывает (рост 156). Качество на высоте!!! Великолепная продукция!!! Удачи и процветания Вашему бизнесу!!!</t>
  </si>
  <si>
    <t xml:space="preserve">штаны совсем не понравились. Цвет не белый, больше похож на бежевый с желтизной. на рост 160 нормально, но при этом собираются в гармошку.</t>
  </si>
  <si>
    <t xml:space="preserve">Размер и посадка, Цвет</t>
  </si>
  <si>
    <t xml:space="preserve">На них написано, что размер М, но по факту, модель явно больше остальных, на которых так же написано М</t>
  </si>
  <si>
    <t xml:space="preserve">Платье пришло с дыркой в рукаве.Хотелось бы получать вещи не бракованные.</t>
  </si>
  <si>
    <t xml:space="preserve">заказ не пришёл, деньги вернули, посылка не отслеживалась</t>
  </si>
  <si>
    <t xml:space="preserve">I really wanted this thing. but I'm very sorry that a couple of days later he broke up and I had to throw it out, although he was me in size. I do not advise to order it</t>
  </si>
  <si>
    <t xml:space="preserve">Все хорошо, как на фото выглядет, после стирки не деформируется, пришло оч быстро, s купила своему 13 летнему ребёнку</t>
  </si>
  <si>
    <t xml:space="preserve">Качество ткани и пошива, Соответствие фото и описанию, Доставка и упаковка</t>
  </si>
  <si>
    <t xml:space="preserve">товар абсолютно разочаровал. размер просто огромный. материал неприятный на ощупь.</t>
  </si>
  <si>
    <t xml:space="preserve">Сорочка по спинке короче переда на 10 см</t>
  </si>
  <si>
    <t xml:space="preserve">товар не пришел.Продавец вместо того чтобы вернуть деньги,сильно нагрубил.</t>
  </si>
  <si>
    <t xml:space="preserve">Джинсы среднего качества .Ткань - средней плотности.На мои размеры 72-95 заказала 27 размер.Сели плохо -штанины ооочень широкие!!!Молния просто ужасная -хлипкая и ненадежная.А цвет у нее линялый белый ,и это бросается в глаза !Носить это я не буду .За недостатки снимаю звезды,т.к. стоят джинсы немало.Продавец отправил заказ быстро.</t>
  </si>
  <si>
    <t xml:space="preserve">Размер и посадка, Качество ткани и пошива, Цвет, Доставка и упаковка, Цена</t>
  </si>
  <si>
    <t xml:space="preserve">Супер! Мягкие, удобные, бесшовные...xl на об 108 как раз, размер свой 50.</t>
  </si>
  <si>
    <t xml:space="preserve">Яркие, симпатичные. Ткань достаточно тонкая, тянется хорошо.</t>
  </si>
  <si>
    <t xml:space="preserve">Комбинезон получила на 50 размер мне я заказала XXXL..Размер подошёл,но качество очень тонкое и прозрачное.Но самое страшное сзади пятно</t>
  </si>
  <si>
    <t xml:space="preserve">Шло долго, нитки торчат везде, хотели носить осенью а уже зима...Так что до весны, там и затестируем.</t>
  </si>
  <si>
    <t xml:space="preserve">заказывала XL а она вообще маленькая наверное даже S</t>
  </si>
  <si>
    <t xml:space="preserve">Ткань плохая,чистая синтетика.Но доставка быстрая,в СПб меньше двух недель.</t>
  </si>
  <si>
    <t xml:space="preserve">симпотисная. Но на рост 170 едва закрывает пупок</t>
  </si>
  <si>
    <t xml:space="preserve">заказ так и не пришел ... не было отслеживания... не успела открыть спор. деньги не вернули(</t>
  </si>
  <si>
    <t xml:space="preserve">На рост 164 рукава очень короткие. На фото ткань плотнее выглядит</t>
  </si>
  <si>
    <t xml:space="preserve">рубашка очень понравилась. на параметры 96-78-106 подошла идеально, спасибо отзывам, заказала на размер больше. продавцу спасибо</t>
  </si>
  <si>
    <t xml:space="preserve">действительно ужас какой то,сшито неаккуратно,на рисунке смотрится лучше,а так выкинула деньги.</t>
  </si>
  <si>
    <t xml:space="preserve">Качество ткани и пошива, Соответствие фото и описанию, Цена</t>
  </si>
  <si>
    <t xml:space="preserve">ткань очень плохова качества вся просвечивается . Я купила половую трепку за 300 рублей</t>
  </si>
  <si>
    <t xml:space="preserve">Водолазка класс, мягкая, теплая и смотрится интересно, рукова не короткие, что очень порадовало (на рост 164 см, ОГ - 89 см не в обтяжку). Спасибо продавцу!</t>
  </si>
  <si>
    <t xml:space="preserve">качество супер. не пуш-ап. по размеру подошло</t>
  </si>
  <si>
    <t xml:space="preserve">Очень растроена. Пижама оказалась мала, размера на 3 точно. Штаны ужасно короткие, рукава тоже. Только ширина груди нормальная, подошла. Заказывала на 48 российский размер. Да и по качеству- синтетика скрипучая.</t>
  </si>
  <si>
    <t xml:space="preserve">Кофта пришла тоненькая, но все же понравилась</t>
  </si>
  <si>
    <t xml:space="preserve">Хорошие леггинсы , только просвечивают чутка</t>
  </si>
  <si>
    <t xml:space="preserve">До Москвы дошла за две недели. На мой 44 заказала L, все подошло. К телу приятная, внутри флис, рукава норм на мой рост 170. Покупкой довольна!</t>
  </si>
  <si>
    <t xml:space="preserve">на фото он объёмный. а на самом деле тонкий.</t>
  </si>
  <si>
    <t xml:space="preserve">очень велик на мой 44 размер и рост не на меня. на высокую девушку. буду носить дома возможно..</t>
  </si>
  <si>
    <t xml:space="preserve">Оооочень тонкие и Ооооочень просвечиваються, не советую даже за 450 руб! на улицу не выйдешь маньяки все Ваши)) размер М на 46-48 для меня большей ((( я ношу 42-44.</t>
  </si>
  <si>
    <t xml:space="preserve">Девочки, это ужасный комплект. Материал сам мягкий, приятный к телу, но размер на кукол игрушечных. Трусики кривые. Я расстроена</t>
  </si>
  <si>
    <t xml:space="preserve">Рубашка хорошая,качество неплохое ,но рукава просто смешные,пришлось немного переделать</t>
  </si>
  <si>
    <t xml:space="preserve">цвет вообще не соответствует, мне не понравилась. качество хорошее, но ожидала другого.</t>
  </si>
  <si>
    <t xml:space="preserve">Качество ткани и пошива, Соответствие фото и описанию, Цвет</t>
  </si>
  <si>
    <t xml:space="preserve">Удобная, теплая, по фигуре. Прошу прощения, фото не очень удачное. Закажу ещё.</t>
  </si>
  <si>
    <t xml:space="preserve">Беру второй раз.Для этой цены,отличная блузка)Есть недочеты,в виде торчащих ниток ,но это ерунда.</t>
  </si>
  <si>
    <t xml:space="preserve">товар не очень понравился, синтетика тело не дышит</t>
  </si>
  <si>
    <t xml:space="preserve">платье прикольное ,но ожидала большего .Ткань немного не понравилась</t>
  </si>
  <si>
    <t xml:space="preserve">с размером не угадала торчат нитки ожидала другого</t>
  </si>
  <si>
    <t xml:space="preserve">не соответствует фото. на фото подкладка толстая, в виде искусственного меха, а фактически пришли тонкие с небольшим ворсом. мягкие на ощупь. до Санкт-Петербурга шли чуть более 1,5 месяца. с продавцом не общалась.</t>
  </si>
  <si>
    <t xml:space="preserve">Мне понравилась куртка,пошита хорошо,размер хл подошел на ог-97 см,хочу серую.Надеюсь будет теплая.Дошла до МО за 2 недели курьером на дом.Спасибо.</t>
  </si>
  <si>
    <t xml:space="preserve">качество костюма оставляет желать лучшего. заказала самый маленький размер- соответствует 42 русскому.внутри приятеый к телу, нооо рисунки не качественные и на ковте пришел рисунок потрескавшийся уже!!!! я думаю из- за некачественного рисунка после первой стирки вид будет ужасным.</t>
  </si>
  <si>
    <t xml:space="preserve">это мой второй заказ,и однозначно я рекомендую продавца!да,доставка достаточно длительная,но это стоит того.летний джинс,тонкий,хорошо простроченный,с завышенной талией,качественный материал позже выложу фото</t>
  </si>
  <si>
    <t xml:space="preserve">качество ужас тонкое ,синтетика .размер не соответствует деньги не вернули</t>
  </si>
  <si>
    <t xml:space="preserve">К сожалению,товар не сстветствует описанию и складывается впечвтление ,что отзывы вы пишете сами.Извините за резкость.Просто,я не знаю ч о делать с этой покупкой.</t>
  </si>
  <si>
    <t xml:space="preserve">Соответствие фото и описанию, Другое</t>
  </si>
  <si>
    <t xml:space="preserve">Как то совсем маломерки. я брала размер по описанию с запасом, но увы...</t>
  </si>
  <si>
    <t xml:space="preserve">Отвратительное качество(тонкая синтетика),размер не совпадает,заказала м ,а он огромадный,в общем не довольна результатом</t>
  </si>
  <si>
    <t xml:space="preserve">У другого продавца точно такие же джинсы голубенького цвета заказывала, тоже размер XS, так они идеальные, просто вау, подчеркнули каждый изгибочек тела! И ткань у них намного плотнее и приятнее."</t>
  </si>
  <si>
    <t xml:space="preserve">Платье пришло достаточно быстро, за 3 недели. Цвет соответствует. Брала s на мой 40 размер село идеально. Есть один недостаток- торчит леска, но это решаемо.</t>
  </si>
  <si>
    <t xml:space="preserve">Посылка шла ко мне 54 дня. Служба доставки Сдэк якобы не могла до меня дозвониться, поэтому посылка лежала у них на складе около месяца. Продавец дал мне номер службы, пришлось разбираться самой. Этот факт очень расстроил. Продавец вернул половину стоимости. Сами джинсы хорошие, по размеру, правда к ним все очень липнет.</t>
  </si>
  <si>
    <t xml:space="preserve">Размер и посадка, Качество ткани и пошива, Доставка и упаковка, Другое</t>
  </si>
  <si>
    <t xml:space="preserve">Приятная ткань, похоже на хлопок) на рост 164 длинноват, отлично, сделаю застежку, ее очень не хватает) в целом отличный товар</t>
  </si>
  <si>
    <t xml:space="preserve">Ничего не пришло. Продавец спустя почти два месяца вернул деньги.</t>
  </si>
  <si>
    <t xml:space="preserve">Доставка в МО быстрая, недели 2. Курточка в целом хорошая, но я ожидала большего. На размер 42-44 заказала L, в самый раз, хотелось бы чуть длиннее рукава. Спасибо продавцу</t>
  </si>
  <si>
    <t xml:space="preserve">Товар не был доставлен, продавец деньги вернуть отказался(((</t>
  </si>
  <si>
    <t xml:space="preserve">ууувииии класссс, вещь по мне не обычная , ждала не долго)) спасибо продавцу) без нареканий как на картинке))) счастлива)))</t>
  </si>
  <si>
    <t xml:space="preserve">Заказала L на свой 46- ну прям знаете, не удобно как будто порвётся вот вот, качество нормальное, только по ощущениям как будто маленькое</t>
  </si>
  <si>
    <t xml:space="preserve">Блузка шла месяц. Ткань синтетика, к телу неприятная, маломерит. У якоря имеются дефекты. Сшита ужасно. На второй день ношения порвался рукав. Очень недовольна. Открыла спор, деньги вернули. Блузку никому не советую. Лучше найдите что-нибудь получше.</t>
  </si>
  <si>
    <t xml:space="preserve">кофточка симпатичная, но воротник и рукава не обработаны, просто не аккуратно обрезаны. надо подшивать</t>
  </si>
  <si>
    <t xml:space="preserve">Костюм ужасный!!! Качество отвратительное! Много брака! Мастерка пришла размер s, а штаны xxl. Открыла спор, продавец на связь не выходил. Из 790₽ вернули только 158₽. Костюм выкинула, носить такое дерьмо я не буду! НЕ ЗАКАЗЫВАЙТЕ У ЭТОГО ПРОДАВЦА!!!</t>
  </si>
  <si>
    <t xml:space="preserve">Размер и посадка, Качество ткани и пошива, Цена, Другое</t>
  </si>
  <si>
    <t xml:space="preserve">Посылка шла месяц до Амурской области, кофточка отличная, размер 42-44.</t>
  </si>
  <si>
    <t xml:space="preserve">Красивая. Но маленькая. Рубашки 4хл велики даже. А эта 5хл не налезла. Грудь 110</t>
  </si>
  <si>
    <t xml:space="preserve">Заказывала размер S пришёл L. Платье естественно большое, пришлось ушивать. Качество среднее. До Барнаула шло где-то месяц. За такую цену вполне нормально.</t>
  </si>
  <si>
    <t xml:space="preserve">Заказ не пришёл ! Продавец отказался вернуть деньги !</t>
  </si>
  <si>
    <t xml:space="preserve">Качество говно, со всех сторон торчат нитки, низ вообще не обработан (просто отрезан) плюс материал чистая синтетика. Я в шоке...."</t>
  </si>
  <si>
    <t xml:space="preserve">не понравился пошив халата. Ткань распределили не симметрично, в результате один рукав светлый, а другой темный..:((( сэкономили на ткани. Даже не знаю куда его одевать.</t>
  </si>
  <si>
    <t xml:space="preserve">Платок очень понравился - мягкий (как ангорка), легкий, приятный к телу. Правда, посылка долго шла - 37 дн. Товару и продавцу - 5 звезд!</t>
  </si>
  <si>
    <t xml:space="preserve">все как в описании. пришло быстро. без запаха. на мой рост 163 можно и L взять. на ребенка подошел М размер</t>
  </si>
  <si>
    <t xml:space="preserve">Размер и посадка, Соответствие фото и описанию, Доставка и упаковка</t>
  </si>
  <si>
    <t xml:space="preserve">Очень маленькая и очень мятая, цвет не соответствует!</t>
  </si>
  <si>
    <t xml:space="preserve">Маломерки, подошли на детскую ногу 30рахм</t>
  </si>
  <si>
    <t xml:space="preserve">Красивая кофта, хорошо смотрится, материал флис</t>
  </si>
  <si>
    <t xml:space="preserve">Продавец очень долго отправлял товар, который так и не пришёл, но деньги вернули в течение 2,5 недели.</t>
  </si>
  <si>
    <t xml:space="preserve">качество хорошее материала,но размер велик и ярлыка нет его отрезал продавец ,такое ощущение что это xl размер ,а не М ,прям утонула в платье</t>
  </si>
  <si>
    <t xml:space="preserve">шапка отличная, заказываю 2й раз в другом цвете</t>
  </si>
  <si>
    <t xml:space="preserve">Товар не пришёл, не отслуживался, продавец отказался вернуть деньги. Очень плохо</t>
  </si>
  <si>
    <t xml:space="preserve">Too long. And a bit too tight in the chest.</t>
  </si>
  <si>
    <t xml:space="preserve">Товар не пришёл, деньги вернули. Ждала почти 3 месяца</t>
  </si>
  <si>
    <t xml:space="preserve">свитер очень красивый на рус.100-84-100 заказывалаXXL сел Осена хорошо, мягкий,спасибо за подарочек продавцу. доставка быстрая, трек отслеживался.</t>
  </si>
  <si>
    <t xml:space="preserve">Маечка приятная к телу,легкая,только размер чашечки не на грудь первого размера, а больше или под бюстье.Размер M.Все как в описании.Доставка месяц.С продавцом не общалась.</t>
  </si>
  <si>
    <t xml:space="preserve">Размер и посадка, Качество ткани и пошива, Соответствие фото и описанию, Доставка и упаковка</t>
  </si>
  <si>
    <t xml:space="preserve">Пуховик топ, жена довольна! очень яркий, мягкий! Доставка 10 дней, курьером до двери</t>
  </si>
  <si>
    <t xml:space="preserve">Качество ткани и пошива, Цвет, Доставка и упаковка</t>
  </si>
  <si>
    <t xml:space="preserve">вместо платья пришла какая-то майка и продавец даже не пытался решить этот момент. деньги не вернули. не заказывать у него ничего!!!ужасный продавец. обман.</t>
  </si>
  <si>
    <t xml:space="preserve">заказала в октябре а получила товар 13января. ужас!!!</t>
  </si>
  <si>
    <t xml:space="preserve">Носки не приехали. Продавец на связь не выходит. Ужас.</t>
  </si>
  <si>
    <t xml:space="preserve">Доставка очень быстрая .На 48 заказала xxxl -свободная и чуть выше колена .Маленько переделаю верх и буду носить как платье на футболку.Спасибо продавец )</t>
  </si>
  <si>
    <t xml:space="preserve">Цвет не совпадает с картинкой .На картинке нежнее.</t>
  </si>
  <si>
    <t xml:space="preserve">В первый раз мне приходит вещь с Али экспресс в грязном виде. Не приятно конечно. На кофте мелкие пятна. такое чувство что валялась где-то на складе без упаковки. Маломерка. По шву нитки торчат везде!!!</t>
  </si>
  <si>
    <t xml:space="preserve">не понравилась совершенно, очень короткая, очень маленькая, на горловине грубый шов.</t>
  </si>
  <si>
    <t xml:space="preserve">сшито ужасно швы кревые,один рукав длиннее чем второй,резинки на рукавах и внизу кофты из такой же ткани,ужасней кофты я еще не видела .</t>
  </si>
  <si>
    <t xml:space="preserve">К сожалению не пришли,но продавец был на связи и вернул деньги</t>
  </si>
  <si>
    <t xml:space="preserve">носки пришли какие и заказывала. На 39 размер норм. По качеству мне не понравились, тонкие для зимы. В живую я бы не купила. На фото 4 пары, одни уже отдала</t>
  </si>
  <si>
    <t xml:space="preserve">Дошел за 11 дней. Заказывала второй синий. Рукова прилично длиннее чем в розовом.</t>
  </si>
  <si>
    <t xml:space="preserve">Ужасно! Синтетика с обвязаными краями. Своих денег вообще не стоит. Так ждала и в итоге разочаровалась. Муж, увидев, сказал выбрасывай.</t>
  </si>
  <si>
    <t xml:space="preserve">Крутая!не выглядит дешево!xl на невысокую девушку до 42-44 р. 3 недели шла</t>
  </si>
  <si>
    <t xml:space="preserve">Пришла быстро. Дочь в восторге. Синтетика с ярким рисунком. Спасибо. На Xs размер S подошёл</t>
  </si>
  <si>
    <t xml:space="preserve">Отличная р-шка,только без кармана и выточек.На ОГ100,ОТ88,ОТ100, чуть-чуть большевата,но так было и задумано(вдруг после стирки подсядет).</t>
  </si>
  <si>
    <t xml:space="preserve">Ничего не пришло, деньги вернули после долгих споров</t>
  </si>
  <si>
    <t xml:space="preserve">хорошая кофта. темно-синяя(не чёрная). не буду врать, ожидала немного другого. качество не очень, не нравится ткань(синтетика). за свои деньги не окупаемо. не буду портить репутацию магазину 5 звёзд.заказывайте, если не боитесь разочароваться;)))пришла быстро!!</t>
  </si>
  <si>
    <t xml:space="preserve">Качество ткани и пошива, Цвет, Доставка и упаковка, Цена</t>
  </si>
  <si>
    <t xml:space="preserve">На L рукова длинноваты. Много ниток, тонкая, внутри флис, цвет более зеленый чем на фото у продавца. Пришло через 2 недели</t>
  </si>
  <si>
    <t xml:space="preserve">Товар не пришел, деньги вернули. Продавец деньги возвращать не хотел.</t>
  </si>
  <si>
    <t xml:space="preserve">Продавцу спасибо.. Пришло быстро. Качество нормальное. Точное описание! брал Жене ей по размеру!</t>
  </si>
  <si>
    <t xml:space="preserve">На фото блузка смотрится более эффектно. Заказывать лучше на размер больше, чем указано в таблице. !!!Голимая синтетика, хлопка ни грамма!!!</t>
  </si>
  <si>
    <t xml:space="preserve">Размер не соответствует выбранной категории XXL. Бирка у товара не присутствует.</t>
  </si>
  <si>
    <t xml:space="preserve">ожидала лучше по качеству. 7хl почти влез на 56-58.</t>
  </si>
  <si>
    <t xml:space="preserve">Максимум толстовка, но ни как ни куртка. Заказом не довольна</t>
  </si>
  <si>
    <t xml:space="preserve">пришла одна только пара!!!носки хорошие,нет 2й пары поэтому и 2!!2носка и оценка 2!!</t>
  </si>
  <si>
    <t xml:space="preserve">он 108, бедра 116,рост 162, вес 89 кг,смотрится простоватого,можно было брать 3 xl</t>
  </si>
  <si>
    <t xml:space="preserve">Платье обалденное!!! Размер отлично подошёл 87-64-88. Доставка быстрая. 2 недели в мо.</t>
  </si>
  <si>
    <t xml:space="preserve">отличное платье. советую. на размер 40-42 заказала S. подошло отлично. в обтяжку. мягкое. тепленькое. доставка очень быстрая. курьер принес прям домой.</t>
  </si>
  <si>
    <t xml:space="preserve">описание не соответствует это трикотажный кардиган а совсем не вязанный свитер курткаосень</t>
  </si>
  <si>
    <t xml:space="preserve">качество ну очень хорошее.блуза двухсторонняя,можно носить и вывернутой.</t>
  </si>
  <si>
    <t xml:space="preserve">Тема</t>
  </si>
  <si>
    <t xml:space="preserve">Упоминаний</t>
  </si>
  <si>
    <t xml:space="preserve">Из них отрицательных</t>
  </si>
  <si>
    <t xml:space="preserve">Доля негатива</t>
  </si>
  <si>
    <t xml:space="preserve">Цвет</t>
  </si>
  <si>
    <t xml:space="preserve">Цена</t>
  </si>
  <si>
    <t xml:space="preserve">Отзывов: положительный</t>
  </si>
  <si>
    <t xml:space="preserve">Отзывов: нейтральный</t>
  </si>
  <si>
    <t xml:space="preserve">Отзывов: отрицательный</t>
  </si>
  <si>
    <t xml:space="preserve">Всего отзывов</t>
  </si>
  <si>
    <t xml:space="preserve">Негативных отзывов</t>
  </si>
  <si>
    <t xml:space="preserve">Примеры</t>
  </si>
  <si>
    <t xml:space="preserve">«Качество хуже,чем я покупала два года подряд,размер не соответствует,у меня российский 42-44,а заказала l на всякий случай,подошёл,но через несколько дней мо...»
«продавец присылает сообщения чтобы поставили хороший отзыв тогда он вернет 2$. По качеству синтетика, мне не понравилось, пришла с браком благодарен вмешател...»</t>
  </si>
  <si>
    <t xml:space="preserve">«Много лишней ткани на спине, образуется горб и складки при движении, сильно шуршит при малейшем движении, строчки ровные, нитки не торчат, цвет красивый, но ...»
«Платье пришлось перешивать в боках, так как оно сшито на женщин с ооооочень большой пятой точкой.»</t>
  </si>
  <si>
    <t xml:space="preserve">«юбку заказала 11.11.2017 заказ пришёл только 10.01.2018, размер S оказался маленьким»
«Заказ не получила. Деньги не вернули. Отвратительно!»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</si>
</sst>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BE185D"/>
        <bgColor rgb="FF99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BE185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BE185D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90"/>
    <col collapsed="false" customWidth="true" hidden="false" outlineLevel="0" max="3" min="3" style="0" width="16"/>
    <col collapsed="false" customWidth="true" hidden="false" outlineLevel="0" max="4" min="4" style="0" width="4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64.9" hidden="false" customHeight="false" outlineLevel="0" collapsed="false">
      <c r="A2" s="2" t="n">
        <v>1</v>
      </c>
      <c r="B2" s="3" t="s">
        <v>4</v>
      </c>
      <c r="C2" s="2" t="s">
        <v>5</v>
      </c>
      <c r="D2" s="2" t="s">
        <v>6</v>
      </c>
    </row>
    <row r="3" customFormat="false" ht="26.85" hidden="false" customHeight="false" outlineLevel="0" collapsed="false">
      <c r="A3" s="2" t="n">
        <v>2</v>
      </c>
      <c r="B3" s="3" t="s">
        <v>7</v>
      </c>
      <c r="C3" s="2" t="s">
        <v>5</v>
      </c>
      <c r="D3" s="2" t="s">
        <v>8</v>
      </c>
    </row>
    <row r="4" customFormat="false" ht="39.55" hidden="false" customHeight="false" outlineLevel="0" collapsed="false">
      <c r="A4" s="2" t="n">
        <v>3</v>
      </c>
      <c r="B4" s="3" t="s">
        <v>9</v>
      </c>
      <c r="C4" s="2" t="s">
        <v>5</v>
      </c>
      <c r="D4" s="2" t="s">
        <v>10</v>
      </c>
    </row>
    <row r="5" customFormat="false" ht="15" hidden="false" customHeight="false" outlineLevel="0" collapsed="false">
      <c r="A5" s="2" t="n">
        <v>4</v>
      </c>
      <c r="B5" s="3" t="s">
        <v>11</v>
      </c>
      <c r="C5" s="2" t="s">
        <v>12</v>
      </c>
      <c r="D5" s="2" t="s">
        <v>13</v>
      </c>
    </row>
    <row r="6" customFormat="false" ht="26.85" hidden="false" customHeight="false" outlineLevel="0" collapsed="false">
      <c r="A6" s="2" t="n">
        <v>5</v>
      </c>
      <c r="B6" s="3" t="s">
        <v>14</v>
      </c>
      <c r="C6" s="2" t="s">
        <v>15</v>
      </c>
      <c r="D6" s="2" t="s">
        <v>10</v>
      </c>
    </row>
    <row r="7" customFormat="false" ht="26.85" hidden="false" customHeight="false" outlineLevel="0" collapsed="false">
      <c r="A7" s="2" t="n">
        <v>6</v>
      </c>
      <c r="B7" s="3" t="s">
        <v>16</v>
      </c>
      <c r="C7" s="2" t="s">
        <v>15</v>
      </c>
      <c r="D7" s="2" t="s">
        <v>17</v>
      </c>
    </row>
    <row r="8" customFormat="false" ht="39.55" hidden="false" customHeight="false" outlineLevel="0" collapsed="false">
      <c r="A8" s="2" t="n">
        <v>7</v>
      </c>
      <c r="B8" s="3" t="s">
        <v>18</v>
      </c>
      <c r="C8" s="2" t="s">
        <v>12</v>
      </c>
      <c r="D8" s="2" t="s">
        <v>19</v>
      </c>
    </row>
    <row r="9" customFormat="false" ht="39.55" hidden="false" customHeight="false" outlineLevel="0" collapsed="false">
      <c r="A9" s="2" t="n">
        <v>8</v>
      </c>
      <c r="B9" s="3" t="s">
        <v>20</v>
      </c>
      <c r="C9" s="2" t="s">
        <v>12</v>
      </c>
      <c r="D9" s="2" t="s">
        <v>21</v>
      </c>
    </row>
    <row r="10" customFormat="false" ht="15" hidden="false" customHeight="false" outlineLevel="0" collapsed="false">
      <c r="A10" s="2" t="n">
        <v>9</v>
      </c>
      <c r="B10" s="3" t="s">
        <v>22</v>
      </c>
      <c r="C10" s="2" t="s">
        <v>15</v>
      </c>
      <c r="D10" s="2" t="s">
        <v>17</v>
      </c>
    </row>
    <row r="11" customFormat="false" ht="39.55" hidden="false" customHeight="false" outlineLevel="0" collapsed="false">
      <c r="A11" s="2" t="n">
        <v>10</v>
      </c>
      <c r="B11" s="3" t="s">
        <v>23</v>
      </c>
      <c r="C11" s="2" t="s">
        <v>5</v>
      </c>
      <c r="D11" s="2" t="s">
        <v>24</v>
      </c>
    </row>
    <row r="12" customFormat="false" ht="15" hidden="false" customHeight="false" outlineLevel="0" collapsed="false">
      <c r="A12" s="2" t="n">
        <v>11</v>
      </c>
      <c r="B12" s="3" t="s">
        <v>25</v>
      </c>
      <c r="C12" s="2" t="s">
        <v>5</v>
      </c>
      <c r="D12" s="2" t="s">
        <v>26</v>
      </c>
    </row>
    <row r="13" customFormat="false" ht="52.2" hidden="false" customHeight="false" outlineLevel="0" collapsed="false">
      <c r="A13" s="2" t="n">
        <v>12</v>
      </c>
      <c r="B13" s="3" t="s">
        <v>27</v>
      </c>
      <c r="C13" s="2" t="s">
        <v>5</v>
      </c>
      <c r="D13" s="2" t="s">
        <v>24</v>
      </c>
    </row>
    <row r="14" customFormat="false" ht="39.55" hidden="false" customHeight="false" outlineLevel="0" collapsed="false">
      <c r="A14" s="2" t="n">
        <v>13</v>
      </c>
      <c r="B14" s="3" t="s">
        <v>28</v>
      </c>
      <c r="C14" s="2" t="s">
        <v>5</v>
      </c>
      <c r="D14" s="2" t="s">
        <v>29</v>
      </c>
    </row>
    <row r="15" customFormat="false" ht="26.85" hidden="false" customHeight="false" outlineLevel="0" collapsed="false">
      <c r="A15" s="2" t="n">
        <v>14</v>
      </c>
      <c r="B15" s="3" t="s">
        <v>30</v>
      </c>
      <c r="C15" s="2" t="s">
        <v>12</v>
      </c>
      <c r="D15" s="2" t="s">
        <v>31</v>
      </c>
    </row>
    <row r="16" customFormat="false" ht="15" hidden="false" customHeight="false" outlineLevel="0" collapsed="false">
      <c r="A16" s="2" t="n">
        <v>15</v>
      </c>
      <c r="B16" s="3" t="s">
        <v>32</v>
      </c>
      <c r="C16" s="2" t="s">
        <v>12</v>
      </c>
      <c r="D16" s="2" t="s">
        <v>33</v>
      </c>
    </row>
    <row r="17" customFormat="false" ht="15" hidden="false" customHeight="false" outlineLevel="0" collapsed="false">
      <c r="A17" s="2" t="n">
        <v>16</v>
      </c>
      <c r="B17" s="3" t="s">
        <v>34</v>
      </c>
      <c r="C17" s="2" t="s">
        <v>12</v>
      </c>
      <c r="D17" s="2" t="s">
        <v>21</v>
      </c>
    </row>
    <row r="18" customFormat="false" ht="26.85" hidden="false" customHeight="false" outlineLevel="0" collapsed="false">
      <c r="A18" s="2" t="n">
        <v>17</v>
      </c>
      <c r="B18" s="3" t="s">
        <v>35</v>
      </c>
      <c r="C18" s="2" t="s">
        <v>5</v>
      </c>
      <c r="D18" s="2" t="s">
        <v>36</v>
      </c>
    </row>
    <row r="19" customFormat="false" ht="15" hidden="false" customHeight="false" outlineLevel="0" collapsed="false">
      <c r="A19" s="2" t="n">
        <v>18</v>
      </c>
      <c r="B19" s="3" t="s">
        <v>37</v>
      </c>
      <c r="C19" s="2" t="s">
        <v>5</v>
      </c>
      <c r="D19" s="2" t="s">
        <v>17</v>
      </c>
    </row>
    <row r="20" customFormat="false" ht="26.85" hidden="false" customHeight="false" outlineLevel="0" collapsed="false">
      <c r="A20" s="2" t="n">
        <v>19</v>
      </c>
      <c r="B20" s="3" t="s">
        <v>38</v>
      </c>
      <c r="C20" s="2" t="s">
        <v>15</v>
      </c>
      <c r="D20" s="2" t="s">
        <v>26</v>
      </c>
    </row>
    <row r="21" customFormat="false" ht="52.2" hidden="false" customHeight="false" outlineLevel="0" collapsed="false">
      <c r="A21" s="2" t="n">
        <v>20</v>
      </c>
      <c r="B21" s="3" t="s">
        <v>39</v>
      </c>
      <c r="C21" s="2" t="s">
        <v>12</v>
      </c>
      <c r="D21" s="2" t="s">
        <v>19</v>
      </c>
    </row>
    <row r="22" customFormat="false" ht="26.85" hidden="false" customHeight="false" outlineLevel="0" collapsed="false">
      <c r="A22" s="2" t="n">
        <v>21</v>
      </c>
      <c r="B22" s="3" t="s">
        <v>40</v>
      </c>
      <c r="C22" s="2" t="s">
        <v>5</v>
      </c>
      <c r="D22" s="2" t="s">
        <v>41</v>
      </c>
    </row>
    <row r="23" customFormat="false" ht="26.85" hidden="false" customHeight="false" outlineLevel="0" collapsed="false">
      <c r="A23" s="2" t="n">
        <v>22</v>
      </c>
      <c r="B23" s="3" t="s">
        <v>42</v>
      </c>
      <c r="C23" s="2" t="s">
        <v>15</v>
      </c>
      <c r="D23" s="2" t="s">
        <v>10</v>
      </c>
    </row>
    <row r="24" customFormat="false" ht="39.55" hidden="false" customHeight="false" outlineLevel="0" collapsed="false">
      <c r="A24" s="2" t="n">
        <v>23</v>
      </c>
      <c r="B24" s="3" t="s">
        <v>43</v>
      </c>
      <c r="C24" s="2" t="s">
        <v>5</v>
      </c>
      <c r="D24" s="2" t="s">
        <v>44</v>
      </c>
    </row>
    <row r="25" customFormat="false" ht="15" hidden="false" customHeight="false" outlineLevel="0" collapsed="false">
      <c r="A25" s="2" t="n">
        <v>24</v>
      </c>
      <c r="B25" s="3" t="s">
        <v>45</v>
      </c>
      <c r="C25" s="2" t="s">
        <v>5</v>
      </c>
      <c r="D25" s="2" t="s">
        <v>21</v>
      </c>
    </row>
    <row r="26" customFormat="false" ht="15" hidden="false" customHeight="false" outlineLevel="0" collapsed="false">
      <c r="A26" s="2" t="n">
        <v>25</v>
      </c>
      <c r="B26" s="3" t="s">
        <v>46</v>
      </c>
      <c r="C26" s="2" t="s">
        <v>12</v>
      </c>
      <c r="D26" s="2" t="s">
        <v>21</v>
      </c>
    </row>
    <row r="27" customFormat="false" ht="15" hidden="false" customHeight="false" outlineLevel="0" collapsed="false">
      <c r="A27" s="2" t="n">
        <v>26</v>
      </c>
      <c r="B27" s="3" t="s">
        <v>47</v>
      </c>
      <c r="C27" s="2" t="s">
        <v>12</v>
      </c>
      <c r="D27" s="2" t="s">
        <v>19</v>
      </c>
    </row>
    <row r="28" customFormat="false" ht="26.85" hidden="false" customHeight="false" outlineLevel="0" collapsed="false">
      <c r="A28" s="2" t="n">
        <v>27</v>
      </c>
      <c r="B28" s="3" t="s">
        <v>48</v>
      </c>
      <c r="C28" s="2" t="s">
        <v>5</v>
      </c>
      <c r="D28" s="2" t="s">
        <v>10</v>
      </c>
    </row>
    <row r="29" customFormat="false" ht="39.55" hidden="false" customHeight="false" outlineLevel="0" collapsed="false">
      <c r="A29" s="2" t="n">
        <v>28</v>
      </c>
      <c r="B29" s="3" t="s">
        <v>49</v>
      </c>
      <c r="C29" s="2" t="s">
        <v>12</v>
      </c>
      <c r="D29" s="2" t="s">
        <v>50</v>
      </c>
    </row>
    <row r="30" customFormat="false" ht="26.85" hidden="false" customHeight="false" outlineLevel="0" collapsed="false">
      <c r="A30" s="2" t="n">
        <v>29</v>
      </c>
      <c r="B30" s="3" t="s">
        <v>51</v>
      </c>
      <c r="C30" s="2" t="s">
        <v>15</v>
      </c>
      <c r="D30" s="2" t="s">
        <v>52</v>
      </c>
    </row>
    <row r="31" customFormat="false" ht="15" hidden="false" customHeight="false" outlineLevel="0" collapsed="false">
      <c r="A31" s="2" t="n">
        <v>30</v>
      </c>
      <c r="B31" s="3" t="s">
        <v>53</v>
      </c>
      <c r="C31" s="2" t="s">
        <v>5</v>
      </c>
      <c r="D31" s="2" t="s">
        <v>21</v>
      </c>
    </row>
    <row r="32" customFormat="false" ht="26.85" hidden="false" customHeight="false" outlineLevel="0" collapsed="false">
      <c r="A32" s="2" t="n">
        <v>31</v>
      </c>
      <c r="B32" s="3" t="s">
        <v>54</v>
      </c>
      <c r="C32" s="2" t="s">
        <v>5</v>
      </c>
      <c r="D32" s="2" t="s">
        <v>33</v>
      </c>
    </row>
    <row r="33" customFormat="false" ht="26.85" hidden="false" customHeight="false" outlineLevel="0" collapsed="false">
      <c r="A33" s="2" t="n">
        <v>32</v>
      </c>
      <c r="B33" s="3" t="s">
        <v>55</v>
      </c>
      <c r="C33" s="2" t="s">
        <v>12</v>
      </c>
      <c r="D33" s="2" t="s">
        <v>8</v>
      </c>
    </row>
    <row r="34" customFormat="false" ht="26.85" hidden="false" customHeight="false" outlineLevel="0" collapsed="false">
      <c r="A34" s="2" t="n">
        <v>33</v>
      </c>
      <c r="B34" s="3" t="s">
        <v>56</v>
      </c>
      <c r="C34" s="2" t="s">
        <v>5</v>
      </c>
      <c r="D34" s="2" t="s">
        <v>17</v>
      </c>
    </row>
    <row r="35" customFormat="false" ht="15" hidden="false" customHeight="false" outlineLevel="0" collapsed="false">
      <c r="A35" s="2" t="n">
        <v>34</v>
      </c>
      <c r="B35" s="3" t="s">
        <v>57</v>
      </c>
      <c r="C35" s="2" t="s">
        <v>12</v>
      </c>
      <c r="D35" s="2" t="s">
        <v>50</v>
      </c>
    </row>
    <row r="36" customFormat="false" ht="26.85" hidden="false" customHeight="false" outlineLevel="0" collapsed="false">
      <c r="A36" s="2" t="n">
        <v>35</v>
      </c>
      <c r="B36" s="3" t="s">
        <v>58</v>
      </c>
      <c r="C36" s="2" t="s">
        <v>5</v>
      </c>
      <c r="D36" s="2" t="s">
        <v>41</v>
      </c>
    </row>
    <row r="37" customFormat="false" ht="15" hidden="false" customHeight="false" outlineLevel="0" collapsed="false">
      <c r="A37" s="2" t="n">
        <v>36</v>
      </c>
      <c r="B37" s="3" t="s">
        <v>59</v>
      </c>
      <c r="C37" s="2" t="s">
        <v>5</v>
      </c>
      <c r="D37" s="2" t="s">
        <v>60</v>
      </c>
    </row>
    <row r="38" customFormat="false" ht="15" hidden="false" customHeight="false" outlineLevel="0" collapsed="false">
      <c r="A38" s="2" t="n">
        <v>37</v>
      </c>
      <c r="B38" s="3" t="s">
        <v>61</v>
      </c>
      <c r="C38" s="2" t="s">
        <v>15</v>
      </c>
      <c r="D38" s="2" t="s">
        <v>26</v>
      </c>
    </row>
    <row r="39" customFormat="false" ht="26.85" hidden="false" customHeight="false" outlineLevel="0" collapsed="false">
      <c r="A39" s="2" t="n">
        <v>38</v>
      </c>
      <c r="B39" s="3" t="s">
        <v>62</v>
      </c>
      <c r="C39" s="2" t="s">
        <v>5</v>
      </c>
      <c r="D39" s="2" t="s">
        <v>13</v>
      </c>
    </row>
    <row r="40" customFormat="false" ht="39.55" hidden="false" customHeight="false" outlineLevel="0" collapsed="false">
      <c r="A40" s="2" t="n">
        <v>39</v>
      </c>
      <c r="B40" s="3" t="s">
        <v>63</v>
      </c>
      <c r="C40" s="2" t="s">
        <v>12</v>
      </c>
      <c r="D40" s="2" t="s">
        <v>26</v>
      </c>
    </row>
    <row r="41" customFormat="false" ht="15" hidden="false" customHeight="false" outlineLevel="0" collapsed="false">
      <c r="A41" s="2" t="n">
        <v>40</v>
      </c>
      <c r="B41" s="3" t="s">
        <v>64</v>
      </c>
      <c r="C41" s="2" t="s">
        <v>5</v>
      </c>
      <c r="D41" s="2" t="s">
        <v>8</v>
      </c>
    </row>
    <row r="42" customFormat="false" ht="26.85" hidden="false" customHeight="false" outlineLevel="0" collapsed="false">
      <c r="A42" s="2" t="n">
        <v>41</v>
      </c>
      <c r="B42" s="3" t="s">
        <v>65</v>
      </c>
      <c r="C42" s="2" t="s">
        <v>12</v>
      </c>
      <c r="D42" s="2" t="s">
        <v>50</v>
      </c>
    </row>
    <row r="43" customFormat="false" ht="26.85" hidden="false" customHeight="false" outlineLevel="0" collapsed="false">
      <c r="A43" s="2" t="n">
        <v>42</v>
      </c>
      <c r="B43" s="3" t="s">
        <v>66</v>
      </c>
      <c r="C43" s="2" t="s">
        <v>12</v>
      </c>
      <c r="D43" s="2" t="s">
        <v>10</v>
      </c>
    </row>
    <row r="44" customFormat="false" ht="39.55" hidden="false" customHeight="false" outlineLevel="0" collapsed="false">
      <c r="A44" s="2" t="n">
        <v>43</v>
      </c>
      <c r="B44" s="3" t="s">
        <v>67</v>
      </c>
      <c r="C44" s="2" t="s">
        <v>12</v>
      </c>
      <c r="D44" s="2" t="s">
        <v>26</v>
      </c>
    </row>
    <row r="45" customFormat="false" ht="26.85" hidden="false" customHeight="false" outlineLevel="0" collapsed="false">
      <c r="A45" s="2" t="n">
        <v>44</v>
      </c>
      <c r="B45" s="3" t="s">
        <v>68</v>
      </c>
      <c r="C45" s="2" t="s">
        <v>12</v>
      </c>
      <c r="D45" s="2" t="s">
        <v>8</v>
      </c>
    </row>
    <row r="46" customFormat="false" ht="15" hidden="false" customHeight="false" outlineLevel="0" collapsed="false">
      <c r="A46" s="2" t="n">
        <v>45</v>
      </c>
      <c r="B46" s="3" t="s">
        <v>69</v>
      </c>
      <c r="C46" s="2" t="s">
        <v>15</v>
      </c>
      <c r="D46" s="2" t="s">
        <v>33</v>
      </c>
    </row>
    <row r="47" customFormat="false" ht="52.2" hidden="false" customHeight="false" outlineLevel="0" collapsed="false">
      <c r="A47" s="2" t="n">
        <v>46</v>
      </c>
      <c r="B47" s="3" t="s">
        <v>70</v>
      </c>
      <c r="C47" s="2" t="s">
        <v>5</v>
      </c>
      <c r="D47" s="2" t="s">
        <v>10</v>
      </c>
    </row>
    <row r="48" customFormat="false" ht="26.85" hidden="false" customHeight="false" outlineLevel="0" collapsed="false">
      <c r="A48" s="2" t="n">
        <v>47</v>
      </c>
      <c r="B48" s="3" t="s">
        <v>71</v>
      </c>
      <c r="C48" s="2" t="s">
        <v>5</v>
      </c>
      <c r="D48" s="2" t="s">
        <v>72</v>
      </c>
    </row>
    <row r="49" customFormat="false" ht="39.55" hidden="false" customHeight="false" outlineLevel="0" collapsed="false">
      <c r="A49" s="2" t="n">
        <v>48</v>
      </c>
      <c r="B49" s="3" t="s">
        <v>73</v>
      </c>
      <c r="C49" s="2" t="s">
        <v>15</v>
      </c>
      <c r="D49" s="2" t="s">
        <v>21</v>
      </c>
    </row>
    <row r="50" customFormat="false" ht="15" hidden="false" customHeight="false" outlineLevel="0" collapsed="false">
      <c r="A50" s="2" t="n">
        <v>49</v>
      </c>
      <c r="B50" s="3" t="s">
        <v>74</v>
      </c>
      <c r="C50" s="2" t="s">
        <v>5</v>
      </c>
      <c r="D50" s="2" t="s">
        <v>17</v>
      </c>
    </row>
    <row r="51" customFormat="false" ht="39.55" hidden="false" customHeight="false" outlineLevel="0" collapsed="false">
      <c r="A51" s="2" t="n">
        <v>50</v>
      </c>
      <c r="B51" s="3" t="s">
        <v>75</v>
      </c>
      <c r="C51" s="2" t="s">
        <v>15</v>
      </c>
      <c r="D51" s="2" t="s">
        <v>33</v>
      </c>
    </row>
    <row r="52" customFormat="false" ht="26.85" hidden="false" customHeight="false" outlineLevel="0" collapsed="false">
      <c r="A52" s="2" t="n">
        <v>51</v>
      </c>
      <c r="B52" s="3" t="s">
        <v>76</v>
      </c>
      <c r="C52" s="2" t="s">
        <v>12</v>
      </c>
      <c r="D52" s="2" t="s">
        <v>77</v>
      </c>
    </row>
    <row r="53" customFormat="false" ht="15" hidden="false" customHeight="false" outlineLevel="0" collapsed="false">
      <c r="A53" s="2" t="n">
        <v>52</v>
      </c>
      <c r="B53" s="3" t="s">
        <v>78</v>
      </c>
      <c r="C53" s="2" t="s">
        <v>12</v>
      </c>
      <c r="D53" s="2" t="s">
        <v>21</v>
      </c>
    </row>
    <row r="54" customFormat="false" ht="26.85" hidden="false" customHeight="false" outlineLevel="0" collapsed="false">
      <c r="A54" s="2" t="n">
        <v>53</v>
      </c>
      <c r="B54" s="3" t="s">
        <v>79</v>
      </c>
      <c r="C54" s="2" t="s">
        <v>5</v>
      </c>
      <c r="D54" s="2" t="s">
        <v>21</v>
      </c>
    </row>
    <row r="55" customFormat="false" ht="52.2" hidden="false" customHeight="false" outlineLevel="0" collapsed="false">
      <c r="A55" s="2" t="n">
        <v>54</v>
      </c>
      <c r="B55" s="3" t="s">
        <v>80</v>
      </c>
      <c r="C55" s="2" t="s">
        <v>12</v>
      </c>
      <c r="D55" s="2" t="s">
        <v>19</v>
      </c>
    </row>
    <row r="56" customFormat="false" ht="15" hidden="false" customHeight="false" outlineLevel="0" collapsed="false">
      <c r="A56" s="2" t="n">
        <v>55</v>
      </c>
      <c r="B56" s="3" t="s">
        <v>81</v>
      </c>
      <c r="C56" s="2" t="s">
        <v>12</v>
      </c>
      <c r="D56" s="2" t="s">
        <v>8</v>
      </c>
    </row>
    <row r="57" customFormat="false" ht="15" hidden="false" customHeight="false" outlineLevel="0" collapsed="false">
      <c r="A57" s="2" t="n">
        <v>56</v>
      </c>
      <c r="B57" s="3" t="s">
        <v>82</v>
      </c>
      <c r="C57" s="2" t="s">
        <v>15</v>
      </c>
      <c r="D57" s="2" t="s">
        <v>26</v>
      </c>
    </row>
    <row r="58" customFormat="false" ht="26.85" hidden="false" customHeight="false" outlineLevel="0" collapsed="false">
      <c r="A58" s="2" t="n">
        <v>57</v>
      </c>
      <c r="B58" s="3" t="s">
        <v>83</v>
      </c>
      <c r="C58" s="2" t="s">
        <v>12</v>
      </c>
      <c r="D58" s="2" t="s">
        <v>84</v>
      </c>
    </row>
    <row r="59" customFormat="false" ht="15" hidden="false" customHeight="false" outlineLevel="0" collapsed="false">
      <c r="A59" s="2" t="n">
        <v>58</v>
      </c>
      <c r="B59" s="3" t="s">
        <v>85</v>
      </c>
      <c r="C59" s="2" t="s">
        <v>15</v>
      </c>
      <c r="D59" s="2" t="s">
        <v>10</v>
      </c>
    </row>
    <row r="60" customFormat="false" ht="15" hidden="false" customHeight="false" outlineLevel="0" collapsed="false">
      <c r="A60" s="2" t="n">
        <v>59</v>
      </c>
      <c r="B60" s="3" t="s">
        <v>86</v>
      </c>
      <c r="C60" s="2" t="s">
        <v>5</v>
      </c>
      <c r="D60" s="2" t="s">
        <v>8</v>
      </c>
    </row>
    <row r="61" customFormat="false" ht="15" hidden="false" customHeight="false" outlineLevel="0" collapsed="false">
      <c r="A61" s="2" t="n">
        <v>60</v>
      </c>
      <c r="B61" s="3" t="s">
        <v>87</v>
      </c>
      <c r="C61" s="2" t="s">
        <v>5</v>
      </c>
      <c r="D61" s="2" t="s">
        <v>10</v>
      </c>
    </row>
    <row r="62" customFormat="false" ht="26.85" hidden="false" customHeight="false" outlineLevel="0" collapsed="false">
      <c r="A62" s="2" t="n">
        <v>61</v>
      </c>
      <c r="B62" s="3" t="s">
        <v>88</v>
      </c>
      <c r="C62" s="2" t="s">
        <v>5</v>
      </c>
      <c r="D62" s="2" t="s">
        <v>36</v>
      </c>
    </row>
    <row r="63" customFormat="false" ht="39.55" hidden="false" customHeight="false" outlineLevel="0" collapsed="false">
      <c r="A63" s="2" t="n">
        <v>62</v>
      </c>
      <c r="B63" s="3" t="s">
        <v>89</v>
      </c>
      <c r="C63" s="2" t="s">
        <v>5</v>
      </c>
      <c r="D63" s="2" t="s">
        <v>90</v>
      </c>
    </row>
    <row r="64" customFormat="false" ht="39.55" hidden="false" customHeight="false" outlineLevel="0" collapsed="false">
      <c r="A64" s="2" t="n">
        <v>63</v>
      </c>
      <c r="B64" s="3" t="s">
        <v>91</v>
      </c>
      <c r="C64" s="2" t="s">
        <v>12</v>
      </c>
      <c r="D64" s="2" t="s">
        <v>92</v>
      </c>
    </row>
    <row r="65" customFormat="false" ht="26.85" hidden="false" customHeight="false" outlineLevel="0" collapsed="false">
      <c r="A65" s="2" t="n">
        <v>64</v>
      </c>
      <c r="B65" s="3" t="s">
        <v>93</v>
      </c>
      <c r="C65" s="2" t="s">
        <v>5</v>
      </c>
      <c r="D65" s="2" t="s">
        <v>21</v>
      </c>
    </row>
    <row r="66" customFormat="false" ht="39.55" hidden="false" customHeight="false" outlineLevel="0" collapsed="false">
      <c r="A66" s="2" t="n">
        <v>65</v>
      </c>
      <c r="B66" s="3" t="s">
        <v>94</v>
      </c>
      <c r="C66" s="2" t="s">
        <v>5</v>
      </c>
      <c r="D66" s="2" t="s">
        <v>95</v>
      </c>
    </row>
    <row r="67" customFormat="false" ht="26.85" hidden="false" customHeight="false" outlineLevel="0" collapsed="false">
      <c r="A67" s="2" t="n">
        <v>66</v>
      </c>
      <c r="B67" s="3" t="s">
        <v>96</v>
      </c>
      <c r="C67" s="2" t="s">
        <v>15</v>
      </c>
      <c r="D67" s="2" t="s">
        <v>50</v>
      </c>
    </row>
    <row r="68" customFormat="false" ht="39.55" hidden="false" customHeight="false" outlineLevel="0" collapsed="false">
      <c r="A68" s="2" t="n">
        <v>67</v>
      </c>
      <c r="B68" s="3" t="s">
        <v>97</v>
      </c>
      <c r="C68" s="2" t="s">
        <v>5</v>
      </c>
      <c r="D68" s="2" t="s">
        <v>52</v>
      </c>
    </row>
    <row r="69" customFormat="false" ht="26.85" hidden="false" customHeight="false" outlineLevel="0" collapsed="false">
      <c r="A69" s="2" t="n">
        <v>68</v>
      </c>
      <c r="B69" s="3" t="s">
        <v>98</v>
      </c>
      <c r="C69" s="2" t="s">
        <v>12</v>
      </c>
      <c r="D69" s="2" t="s">
        <v>50</v>
      </c>
    </row>
    <row r="70" customFormat="false" ht="39.55" hidden="false" customHeight="false" outlineLevel="0" collapsed="false">
      <c r="A70" s="2" t="n">
        <v>69</v>
      </c>
      <c r="B70" s="3" t="s">
        <v>99</v>
      </c>
      <c r="C70" s="2" t="s">
        <v>5</v>
      </c>
      <c r="D70" s="2" t="s">
        <v>17</v>
      </c>
    </row>
    <row r="71" customFormat="false" ht="26.85" hidden="false" customHeight="false" outlineLevel="0" collapsed="false">
      <c r="A71" s="2" t="n">
        <v>70</v>
      </c>
      <c r="B71" s="3" t="s">
        <v>100</v>
      </c>
      <c r="C71" s="2" t="s">
        <v>5</v>
      </c>
      <c r="D71" s="2" t="s">
        <v>6</v>
      </c>
    </row>
    <row r="72" customFormat="false" ht="26.85" hidden="false" customHeight="false" outlineLevel="0" collapsed="false">
      <c r="A72" s="2" t="n">
        <v>71</v>
      </c>
      <c r="B72" s="3" t="s">
        <v>101</v>
      </c>
      <c r="C72" s="2" t="s">
        <v>12</v>
      </c>
      <c r="D72" s="2" t="s">
        <v>102</v>
      </c>
    </row>
    <row r="73" customFormat="false" ht="15" hidden="false" customHeight="false" outlineLevel="0" collapsed="false">
      <c r="A73" s="2" t="n">
        <v>72</v>
      </c>
      <c r="B73" s="3" t="s">
        <v>103</v>
      </c>
      <c r="C73" s="2" t="s">
        <v>5</v>
      </c>
      <c r="D73" s="2" t="s">
        <v>21</v>
      </c>
    </row>
    <row r="74" customFormat="false" ht="26.85" hidden="false" customHeight="false" outlineLevel="0" collapsed="false">
      <c r="A74" s="2" t="n">
        <v>73</v>
      </c>
      <c r="B74" s="3" t="s">
        <v>104</v>
      </c>
      <c r="C74" s="2" t="s">
        <v>5</v>
      </c>
      <c r="D74" s="2" t="s">
        <v>50</v>
      </c>
    </row>
    <row r="75" customFormat="false" ht="39.55" hidden="false" customHeight="false" outlineLevel="0" collapsed="false">
      <c r="A75" s="2" t="n">
        <v>74</v>
      </c>
      <c r="B75" s="3" t="s">
        <v>105</v>
      </c>
      <c r="C75" s="2" t="s">
        <v>12</v>
      </c>
      <c r="D75" s="2" t="s">
        <v>50</v>
      </c>
    </row>
    <row r="76" customFormat="false" ht="26.85" hidden="false" customHeight="false" outlineLevel="0" collapsed="false">
      <c r="A76" s="2" t="n">
        <v>75</v>
      </c>
      <c r="B76" s="3" t="s">
        <v>106</v>
      </c>
      <c r="C76" s="2" t="s">
        <v>5</v>
      </c>
      <c r="D76" s="2" t="s">
        <v>52</v>
      </c>
    </row>
    <row r="77" customFormat="false" ht="26.85" hidden="false" customHeight="false" outlineLevel="0" collapsed="false">
      <c r="A77" s="2" t="n">
        <v>76</v>
      </c>
      <c r="B77" s="3" t="s">
        <v>107</v>
      </c>
      <c r="C77" s="2" t="s">
        <v>15</v>
      </c>
      <c r="D77" s="2" t="s">
        <v>10</v>
      </c>
    </row>
    <row r="78" customFormat="false" ht="26.85" hidden="false" customHeight="false" outlineLevel="0" collapsed="false">
      <c r="A78" s="2" t="n">
        <v>77</v>
      </c>
      <c r="B78" s="3" t="s">
        <v>108</v>
      </c>
      <c r="C78" s="2" t="s">
        <v>15</v>
      </c>
      <c r="D78" s="2" t="s">
        <v>19</v>
      </c>
    </row>
    <row r="79" customFormat="false" ht="26.85" hidden="false" customHeight="false" outlineLevel="0" collapsed="false">
      <c r="A79" s="2" t="n">
        <v>78</v>
      </c>
      <c r="B79" s="3" t="s">
        <v>109</v>
      </c>
      <c r="C79" s="2" t="s">
        <v>12</v>
      </c>
      <c r="D79" s="2" t="s">
        <v>26</v>
      </c>
    </row>
    <row r="80" customFormat="false" ht="15" hidden="false" customHeight="false" outlineLevel="0" collapsed="false">
      <c r="A80" s="2" t="n">
        <v>79</v>
      </c>
      <c r="B80" s="3" t="s">
        <v>110</v>
      </c>
      <c r="C80" s="2" t="s">
        <v>5</v>
      </c>
      <c r="D80" s="2" t="s">
        <v>17</v>
      </c>
    </row>
    <row r="81" customFormat="false" ht="15" hidden="false" customHeight="false" outlineLevel="0" collapsed="false">
      <c r="A81" s="2" t="n">
        <v>80</v>
      </c>
      <c r="B81" s="3" t="s">
        <v>111</v>
      </c>
      <c r="C81" s="2" t="s">
        <v>12</v>
      </c>
      <c r="D81" s="2" t="s">
        <v>10</v>
      </c>
    </row>
    <row r="82" customFormat="false" ht="15" hidden="false" customHeight="false" outlineLevel="0" collapsed="false">
      <c r="A82" s="2" t="n">
        <v>81</v>
      </c>
      <c r="B82" s="3" t="s">
        <v>112</v>
      </c>
      <c r="C82" s="2" t="s">
        <v>5</v>
      </c>
      <c r="D82" s="2" t="s">
        <v>41</v>
      </c>
    </row>
    <row r="83" customFormat="false" ht="26.85" hidden="false" customHeight="false" outlineLevel="0" collapsed="false">
      <c r="A83" s="2" t="n">
        <v>82</v>
      </c>
      <c r="B83" s="3" t="s">
        <v>113</v>
      </c>
      <c r="C83" s="2" t="s">
        <v>5</v>
      </c>
      <c r="D83" s="2" t="s">
        <v>41</v>
      </c>
    </row>
    <row r="84" customFormat="false" ht="15" hidden="false" customHeight="false" outlineLevel="0" collapsed="false">
      <c r="A84" s="2" t="n">
        <v>83</v>
      </c>
      <c r="B84" s="3" t="s">
        <v>114</v>
      </c>
      <c r="C84" s="2" t="s">
        <v>5</v>
      </c>
      <c r="D84" s="2" t="s">
        <v>10</v>
      </c>
    </row>
    <row r="85" customFormat="false" ht="39.55" hidden="false" customHeight="false" outlineLevel="0" collapsed="false">
      <c r="A85" s="2" t="n">
        <v>84</v>
      </c>
      <c r="B85" s="3" t="s">
        <v>115</v>
      </c>
      <c r="C85" s="2" t="s">
        <v>12</v>
      </c>
      <c r="D85" s="2" t="s">
        <v>19</v>
      </c>
    </row>
    <row r="86" customFormat="false" ht="26.85" hidden="false" customHeight="false" outlineLevel="0" collapsed="false">
      <c r="A86" s="2" t="n">
        <v>85</v>
      </c>
      <c r="B86" s="3" t="s">
        <v>116</v>
      </c>
      <c r="C86" s="2" t="s">
        <v>15</v>
      </c>
      <c r="D86" s="2" t="s">
        <v>10</v>
      </c>
    </row>
    <row r="87" customFormat="false" ht="26.85" hidden="false" customHeight="false" outlineLevel="0" collapsed="false">
      <c r="A87" s="2" t="n">
        <v>86</v>
      </c>
      <c r="B87" s="3" t="s">
        <v>117</v>
      </c>
      <c r="C87" s="2" t="s">
        <v>5</v>
      </c>
      <c r="D87" s="2" t="s">
        <v>21</v>
      </c>
    </row>
    <row r="88" customFormat="false" ht="26.85" hidden="false" customHeight="false" outlineLevel="0" collapsed="false">
      <c r="A88" s="2" t="n">
        <v>87</v>
      </c>
      <c r="B88" s="3" t="s">
        <v>118</v>
      </c>
      <c r="C88" s="2" t="s">
        <v>15</v>
      </c>
      <c r="D88" s="2" t="s">
        <v>17</v>
      </c>
    </row>
    <row r="89" customFormat="false" ht="15" hidden="false" customHeight="false" outlineLevel="0" collapsed="false">
      <c r="A89" s="2" t="n">
        <v>88</v>
      </c>
      <c r="B89" s="3" t="s">
        <v>119</v>
      </c>
      <c r="C89" s="2" t="s">
        <v>5</v>
      </c>
      <c r="D89" s="2" t="s">
        <v>17</v>
      </c>
    </row>
    <row r="90" customFormat="false" ht="26.85" hidden="false" customHeight="false" outlineLevel="0" collapsed="false">
      <c r="A90" s="2" t="n">
        <v>89</v>
      </c>
      <c r="B90" s="3" t="s">
        <v>120</v>
      </c>
      <c r="C90" s="2" t="s">
        <v>12</v>
      </c>
      <c r="D90" s="2" t="s">
        <v>121</v>
      </c>
    </row>
    <row r="91" customFormat="false" ht="26.85" hidden="false" customHeight="false" outlineLevel="0" collapsed="false">
      <c r="A91" s="2" t="n">
        <v>90</v>
      </c>
      <c r="B91" s="3" t="s">
        <v>122</v>
      </c>
      <c r="C91" s="2" t="s">
        <v>5</v>
      </c>
      <c r="D91" s="2" t="s">
        <v>13</v>
      </c>
    </row>
    <row r="92" customFormat="false" ht="15" hidden="false" customHeight="false" outlineLevel="0" collapsed="false">
      <c r="A92" s="2" t="n">
        <v>91</v>
      </c>
      <c r="B92" s="3" t="s">
        <v>123</v>
      </c>
      <c r="C92" s="2" t="s">
        <v>12</v>
      </c>
      <c r="D92" s="2" t="s">
        <v>50</v>
      </c>
    </row>
    <row r="93" customFormat="false" ht="52.2" hidden="false" customHeight="false" outlineLevel="0" collapsed="false">
      <c r="A93" s="2" t="n">
        <v>92</v>
      </c>
      <c r="B93" s="3" t="s">
        <v>124</v>
      </c>
      <c r="C93" s="2" t="s">
        <v>15</v>
      </c>
      <c r="D93" s="2" t="s">
        <v>19</v>
      </c>
    </row>
    <row r="94" customFormat="false" ht="15" hidden="false" customHeight="false" outlineLevel="0" collapsed="false">
      <c r="A94" s="2" t="n">
        <v>93</v>
      </c>
      <c r="B94" s="3" t="s">
        <v>125</v>
      </c>
      <c r="C94" s="2" t="s">
        <v>5</v>
      </c>
      <c r="D94" s="2" t="s">
        <v>50</v>
      </c>
    </row>
    <row r="95" customFormat="false" ht="39.55" hidden="false" customHeight="false" outlineLevel="0" collapsed="false">
      <c r="A95" s="2" t="n">
        <v>94</v>
      </c>
      <c r="B95" s="3" t="s">
        <v>126</v>
      </c>
      <c r="C95" s="2" t="s">
        <v>12</v>
      </c>
      <c r="D95" s="2" t="s">
        <v>19</v>
      </c>
    </row>
    <row r="96" customFormat="false" ht="15" hidden="false" customHeight="false" outlineLevel="0" collapsed="false">
      <c r="A96" s="2" t="n">
        <v>95</v>
      </c>
      <c r="B96" s="3" t="s">
        <v>127</v>
      </c>
      <c r="C96" s="2" t="s">
        <v>5</v>
      </c>
      <c r="D96" s="2" t="s">
        <v>10</v>
      </c>
    </row>
    <row r="97" customFormat="false" ht="15" hidden="false" customHeight="false" outlineLevel="0" collapsed="false">
      <c r="A97" s="2" t="n">
        <v>96</v>
      </c>
      <c r="B97" s="3" t="s">
        <v>128</v>
      </c>
      <c r="C97" s="2" t="s">
        <v>5</v>
      </c>
      <c r="D97" s="2" t="s">
        <v>8</v>
      </c>
    </row>
    <row r="98" customFormat="false" ht="26.85" hidden="false" customHeight="false" outlineLevel="0" collapsed="false">
      <c r="A98" s="2" t="n">
        <v>97</v>
      </c>
      <c r="B98" s="3" t="s">
        <v>129</v>
      </c>
      <c r="C98" s="2" t="s">
        <v>5</v>
      </c>
      <c r="D98" s="2" t="s">
        <v>21</v>
      </c>
    </row>
    <row r="99" customFormat="false" ht="15" hidden="false" customHeight="false" outlineLevel="0" collapsed="false">
      <c r="A99" s="2" t="n">
        <v>98</v>
      </c>
      <c r="B99" s="3" t="s">
        <v>130</v>
      </c>
      <c r="C99" s="2" t="s">
        <v>12</v>
      </c>
      <c r="D99" s="2" t="s">
        <v>8</v>
      </c>
    </row>
    <row r="100" customFormat="false" ht="52.2" hidden="false" customHeight="false" outlineLevel="0" collapsed="false">
      <c r="A100" s="2" t="n">
        <v>99</v>
      </c>
      <c r="B100" s="3" t="s">
        <v>131</v>
      </c>
      <c r="C100" s="2" t="s">
        <v>5</v>
      </c>
      <c r="D100" s="2" t="s">
        <v>50</v>
      </c>
    </row>
    <row r="101" customFormat="false" ht="39.55" hidden="false" customHeight="false" outlineLevel="0" collapsed="false">
      <c r="A101" s="2" t="n">
        <v>100</v>
      </c>
      <c r="B101" s="3" t="s">
        <v>132</v>
      </c>
      <c r="C101" s="2" t="s">
        <v>15</v>
      </c>
      <c r="D101" s="2" t="s">
        <v>33</v>
      </c>
    </row>
    <row r="102" customFormat="false" ht="39.55" hidden="false" customHeight="false" outlineLevel="0" collapsed="false">
      <c r="A102" s="2" t="n">
        <v>101</v>
      </c>
      <c r="B102" s="3" t="s">
        <v>133</v>
      </c>
      <c r="C102" s="2" t="s">
        <v>12</v>
      </c>
      <c r="D102" s="2" t="s">
        <v>134</v>
      </c>
    </row>
    <row r="103" customFormat="false" ht="26.85" hidden="false" customHeight="false" outlineLevel="0" collapsed="false">
      <c r="A103" s="2" t="n">
        <v>102</v>
      </c>
      <c r="B103" s="3" t="s">
        <v>135</v>
      </c>
      <c r="C103" s="2" t="s">
        <v>5</v>
      </c>
      <c r="D103" s="2" t="s">
        <v>33</v>
      </c>
    </row>
    <row r="104" customFormat="false" ht="26.85" hidden="false" customHeight="false" outlineLevel="0" collapsed="false">
      <c r="A104" s="2" t="n">
        <v>103</v>
      </c>
      <c r="B104" s="3" t="s">
        <v>136</v>
      </c>
      <c r="C104" s="2" t="s">
        <v>12</v>
      </c>
      <c r="D104" s="2" t="s">
        <v>19</v>
      </c>
    </row>
    <row r="105" customFormat="false" ht="15" hidden="false" customHeight="false" outlineLevel="0" collapsed="false">
      <c r="A105" s="2" t="n">
        <v>104</v>
      </c>
      <c r="B105" s="3" t="s">
        <v>137</v>
      </c>
      <c r="C105" s="2" t="s">
        <v>15</v>
      </c>
      <c r="D105" s="2" t="s">
        <v>10</v>
      </c>
    </row>
    <row r="106" customFormat="false" ht="15" hidden="false" customHeight="false" outlineLevel="0" collapsed="false">
      <c r="A106" s="2" t="n">
        <v>105</v>
      </c>
      <c r="B106" s="3" t="s">
        <v>138</v>
      </c>
      <c r="C106" s="2" t="s">
        <v>12</v>
      </c>
      <c r="D106" s="2" t="s">
        <v>13</v>
      </c>
    </row>
    <row r="107" customFormat="false" ht="15" hidden="false" customHeight="false" outlineLevel="0" collapsed="false">
      <c r="A107" s="2" t="n">
        <v>106</v>
      </c>
      <c r="B107" s="3" t="s">
        <v>139</v>
      </c>
      <c r="C107" s="2" t="s">
        <v>12</v>
      </c>
      <c r="D107" s="2" t="s">
        <v>8</v>
      </c>
    </row>
    <row r="108" customFormat="false" ht="15" hidden="false" customHeight="false" outlineLevel="0" collapsed="false">
      <c r="A108" s="2" t="n">
        <v>107</v>
      </c>
      <c r="B108" s="3" t="s">
        <v>140</v>
      </c>
      <c r="C108" s="2" t="s">
        <v>5</v>
      </c>
      <c r="D108" s="2" t="s">
        <v>33</v>
      </c>
    </row>
    <row r="109" customFormat="false" ht="26.85" hidden="false" customHeight="false" outlineLevel="0" collapsed="false">
      <c r="A109" s="2" t="n">
        <v>108</v>
      </c>
      <c r="B109" s="3" t="s">
        <v>141</v>
      </c>
      <c r="C109" s="2" t="s">
        <v>12</v>
      </c>
      <c r="D109" s="2" t="s">
        <v>19</v>
      </c>
    </row>
    <row r="110" customFormat="false" ht="15" hidden="false" customHeight="false" outlineLevel="0" collapsed="false">
      <c r="A110" s="2" t="n">
        <v>109</v>
      </c>
      <c r="B110" s="3" t="s">
        <v>142</v>
      </c>
      <c r="C110" s="2" t="s">
        <v>5</v>
      </c>
      <c r="D110" s="2" t="s">
        <v>17</v>
      </c>
    </row>
    <row r="111" customFormat="false" ht="39.55" hidden="false" customHeight="false" outlineLevel="0" collapsed="false">
      <c r="A111" s="2" t="n">
        <v>110</v>
      </c>
      <c r="B111" s="3" t="s">
        <v>143</v>
      </c>
      <c r="C111" s="2" t="s">
        <v>5</v>
      </c>
      <c r="D111" s="2" t="s">
        <v>33</v>
      </c>
    </row>
    <row r="112" customFormat="false" ht="39.55" hidden="false" customHeight="false" outlineLevel="0" collapsed="false">
      <c r="A112" s="2" t="n">
        <v>111</v>
      </c>
      <c r="B112" s="3" t="s">
        <v>144</v>
      </c>
      <c r="C112" s="2" t="s">
        <v>12</v>
      </c>
      <c r="D112" s="2" t="s">
        <v>19</v>
      </c>
    </row>
    <row r="113" customFormat="false" ht="26.85" hidden="false" customHeight="false" outlineLevel="0" collapsed="false">
      <c r="A113" s="2" t="n">
        <v>112</v>
      </c>
      <c r="B113" s="3" t="s">
        <v>145</v>
      </c>
      <c r="C113" s="2" t="s">
        <v>12</v>
      </c>
      <c r="D113" s="2" t="s">
        <v>6</v>
      </c>
    </row>
    <row r="114" customFormat="false" ht="39.55" hidden="false" customHeight="false" outlineLevel="0" collapsed="false">
      <c r="A114" s="2" t="n">
        <v>113</v>
      </c>
      <c r="B114" s="3" t="s">
        <v>146</v>
      </c>
      <c r="C114" s="2" t="s">
        <v>5</v>
      </c>
      <c r="D114" s="2" t="s">
        <v>17</v>
      </c>
    </row>
    <row r="115" customFormat="false" ht="15" hidden="false" customHeight="false" outlineLevel="0" collapsed="false">
      <c r="A115" s="2" t="n">
        <v>114</v>
      </c>
      <c r="B115" s="3" t="s">
        <v>147</v>
      </c>
      <c r="C115" s="2" t="s">
        <v>5</v>
      </c>
      <c r="D115" s="2" t="s">
        <v>8</v>
      </c>
    </row>
    <row r="116" customFormat="false" ht="15" hidden="false" customHeight="false" outlineLevel="0" collapsed="false">
      <c r="A116" s="2" t="n">
        <v>115</v>
      </c>
      <c r="B116" s="3" t="s">
        <v>148</v>
      </c>
      <c r="C116" s="2" t="s">
        <v>5</v>
      </c>
      <c r="D116" s="2" t="s">
        <v>36</v>
      </c>
    </row>
    <row r="117" customFormat="false" ht="15" hidden="false" customHeight="false" outlineLevel="0" collapsed="false">
      <c r="A117" s="2" t="n">
        <v>116</v>
      </c>
      <c r="B117" s="3" t="s">
        <v>149</v>
      </c>
      <c r="C117" s="2" t="s">
        <v>5</v>
      </c>
      <c r="D117" s="2" t="s">
        <v>150</v>
      </c>
    </row>
    <row r="118" customFormat="false" ht="52.2" hidden="false" customHeight="false" outlineLevel="0" collapsed="false">
      <c r="A118" s="2" t="n">
        <v>117</v>
      </c>
      <c r="B118" s="3" t="s">
        <v>151</v>
      </c>
      <c r="C118" s="2" t="s">
        <v>12</v>
      </c>
      <c r="D118" s="2" t="s">
        <v>152</v>
      </c>
    </row>
    <row r="119" customFormat="false" ht="39.55" hidden="false" customHeight="false" outlineLevel="0" collapsed="false">
      <c r="A119" s="2" t="n">
        <v>118</v>
      </c>
      <c r="B119" s="3" t="s">
        <v>153</v>
      </c>
      <c r="C119" s="2" t="s">
        <v>12</v>
      </c>
      <c r="D119" s="2" t="s">
        <v>19</v>
      </c>
    </row>
    <row r="120" customFormat="false" ht="15" hidden="false" customHeight="false" outlineLevel="0" collapsed="false">
      <c r="A120" s="2" t="n">
        <v>119</v>
      </c>
      <c r="B120" s="3" t="s">
        <v>154</v>
      </c>
      <c r="C120" s="2" t="s">
        <v>5</v>
      </c>
      <c r="D120" s="2" t="s">
        <v>41</v>
      </c>
    </row>
    <row r="121" customFormat="false" ht="26.85" hidden="false" customHeight="false" outlineLevel="0" collapsed="false">
      <c r="A121" s="2" t="n">
        <v>120</v>
      </c>
      <c r="B121" s="3" t="s">
        <v>155</v>
      </c>
      <c r="C121" s="2" t="s">
        <v>5</v>
      </c>
      <c r="D121" s="2" t="s">
        <v>19</v>
      </c>
    </row>
    <row r="122" customFormat="false" ht="26.85" hidden="false" customHeight="false" outlineLevel="0" collapsed="false">
      <c r="A122" s="2" t="n">
        <v>121</v>
      </c>
      <c r="B122" s="3" t="s">
        <v>156</v>
      </c>
      <c r="C122" s="2" t="s">
        <v>5</v>
      </c>
      <c r="D122" s="2" t="s">
        <v>44</v>
      </c>
    </row>
    <row r="123" customFormat="false" ht="26.85" hidden="false" customHeight="false" outlineLevel="0" collapsed="false">
      <c r="A123" s="2" t="n">
        <v>122</v>
      </c>
      <c r="B123" s="3" t="s">
        <v>157</v>
      </c>
      <c r="C123" s="2" t="s">
        <v>5</v>
      </c>
      <c r="D123" s="2" t="s">
        <v>31</v>
      </c>
    </row>
    <row r="124" customFormat="false" ht="26.85" hidden="false" customHeight="false" outlineLevel="0" collapsed="false">
      <c r="A124" s="2" t="n">
        <v>123</v>
      </c>
      <c r="B124" s="3" t="s">
        <v>158</v>
      </c>
      <c r="C124" s="2" t="s">
        <v>5</v>
      </c>
      <c r="D124" s="2" t="s">
        <v>24</v>
      </c>
    </row>
    <row r="125" customFormat="false" ht="26.85" hidden="false" customHeight="false" outlineLevel="0" collapsed="false">
      <c r="A125" s="2" t="n">
        <v>124</v>
      </c>
      <c r="B125" s="3" t="s">
        <v>159</v>
      </c>
      <c r="C125" s="2" t="s">
        <v>5</v>
      </c>
      <c r="D125" s="2" t="s">
        <v>33</v>
      </c>
    </row>
    <row r="126" customFormat="false" ht="15" hidden="false" customHeight="false" outlineLevel="0" collapsed="false">
      <c r="A126" s="2" t="n">
        <v>125</v>
      </c>
      <c r="B126" s="3" t="s">
        <v>160</v>
      </c>
      <c r="C126" s="2" t="s">
        <v>15</v>
      </c>
      <c r="D126" s="2" t="s">
        <v>26</v>
      </c>
    </row>
    <row r="127" customFormat="false" ht="15" hidden="false" customHeight="false" outlineLevel="0" collapsed="false">
      <c r="A127" s="2" t="n">
        <v>126</v>
      </c>
      <c r="B127" s="3" t="s">
        <v>161</v>
      </c>
      <c r="C127" s="2" t="s">
        <v>5</v>
      </c>
      <c r="D127" s="2" t="s">
        <v>17</v>
      </c>
    </row>
    <row r="128" customFormat="false" ht="15" hidden="false" customHeight="false" outlineLevel="0" collapsed="false">
      <c r="A128" s="2" t="n">
        <v>127</v>
      </c>
      <c r="B128" s="3" t="s">
        <v>162</v>
      </c>
      <c r="C128" s="2" t="s">
        <v>5</v>
      </c>
      <c r="D128" s="2" t="s">
        <v>21</v>
      </c>
    </row>
    <row r="129" customFormat="false" ht="15" hidden="false" customHeight="false" outlineLevel="0" collapsed="false">
      <c r="A129" s="2" t="n">
        <v>128</v>
      </c>
      <c r="B129" s="3" t="s">
        <v>163</v>
      </c>
      <c r="C129" s="2" t="s">
        <v>5</v>
      </c>
      <c r="D129" s="2" t="s">
        <v>26</v>
      </c>
    </row>
    <row r="130" customFormat="false" ht="26.85" hidden="false" customHeight="false" outlineLevel="0" collapsed="false">
      <c r="A130" s="2" t="n">
        <v>129</v>
      </c>
      <c r="B130" s="3" t="s">
        <v>164</v>
      </c>
      <c r="C130" s="2" t="s">
        <v>5</v>
      </c>
      <c r="D130" s="2" t="s">
        <v>21</v>
      </c>
    </row>
    <row r="131" customFormat="false" ht="15" hidden="false" customHeight="false" outlineLevel="0" collapsed="false">
      <c r="A131" s="2" t="n">
        <v>130</v>
      </c>
      <c r="B131" s="3" t="s">
        <v>165</v>
      </c>
      <c r="C131" s="2" t="s">
        <v>12</v>
      </c>
      <c r="D131" s="2" t="s">
        <v>21</v>
      </c>
    </row>
    <row r="132" customFormat="false" ht="26.85" hidden="false" customHeight="false" outlineLevel="0" collapsed="false">
      <c r="A132" s="2" t="n">
        <v>131</v>
      </c>
      <c r="B132" s="3" t="s">
        <v>166</v>
      </c>
      <c r="C132" s="2" t="s">
        <v>5</v>
      </c>
      <c r="D132" s="2" t="s">
        <v>33</v>
      </c>
    </row>
    <row r="133" customFormat="false" ht="15" hidden="false" customHeight="false" outlineLevel="0" collapsed="false">
      <c r="A133" s="2" t="n">
        <v>132</v>
      </c>
      <c r="B133" s="3" t="s">
        <v>167</v>
      </c>
      <c r="C133" s="2" t="s">
        <v>5</v>
      </c>
      <c r="D133" s="2" t="s">
        <v>50</v>
      </c>
    </row>
    <row r="134" customFormat="false" ht="15" hidden="false" customHeight="false" outlineLevel="0" collapsed="false">
      <c r="A134" s="2" t="n">
        <v>133</v>
      </c>
      <c r="B134" s="3" t="s">
        <v>168</v>
      </c>
      <c r="C134" s="2" t="s">
        <v>5</v>
      </c>
      <c r="D134" s="2" t="s">
        <v>17</v>
      </c>
    </row>
    <row r="135" customFormat="false" ht="15" hidden="false" customHeight="false" outlineLevel="0" collapsed="false">
      <c r="A135" s="2" t="n">
        <v>134</v>
      </c>
      <c r="B135" s="3" t="s">
        <v>169</v>
      </c>
      <c r="C135" s="2" t="s">
        <v>5</v>
      </c>
      <c r="D135" s="2" t="s">
        <v>10</v>
      </c>
    </row>
    <row r="136" customFormat="false" ht="39.55" hidden="false" customHeight="false" outlineLevel="0" collapsed="false">
      <c r="A136" s="2" t="n">
        <v>135</v>
      </c>
      <c r="B136" s="3" t="s">
        <v>170</v>
      </c>
      <c r="C136" s="2" t="s">
        <v>5</v>
      </c>
      <c r="D136" s="2" t="s">
        <v>171</v>
      </c>
    </row>
    <row r="137" customFormat="false" ht="52.2" hidden="false" customHeight="false" outlineLevel="0" collapsed="false">
      <c r="A137" s="2" t="n">
        <v>136</v>
      </c>
      <c r="B137" s="3" t="s">
        <v>172</v>
      </c>
      <c r="C137" s="2" t="s">
        <v>5</v>
      </c>
      <c r="D137" s="2" t="s">
        <v>173</v>
      </c>
    </row>
    <row r="138" customFormat="false" ht="15" hidden="false" customHeight="false" outlineLevel="0" collapsed="false">
      <c r="A138" s="2" t="n">
        <v>137</v>
      </c>
      <c r="B138" s="3" t="s">
        <v>174</v>
      </c>
      <c r="C138" s="2" t="s">
        <v>5</v>
      </c>
      <c r="D138" s="2" t="s">
        <v>13</v>
      </c>
    </row>
    <row r="139" customFormat="false" ht="39.55" hidden="false" customHeight="false" outlineLevel="0" collapsed="false">
      <c r="A139" s="2" t="n">
        <v>138</v>
      </c>
      <c r="B139" s="3" t="s">
        <v>175</v>
      </c>
      <c r="C139" s="2" t="s">
        <v>15</v>
      </c>
      <c r="D139" s="2" t="s">
        <v>19</v>
      </c>
    </row>
    <row r="140" customFormat="false" ht="26.85" hidden="false" customHeight="false" outlineLevel="0" collapsed="false">
      <c r="A140" s="2" t="n">
        <v>139</v>
      </c>
      <c r="B140" s="3" t="s">
        <v>176</v>
      </c>
      <c r="C140" s="2" t="s">
        <v>12</v>
      </c>
      <c r="D140" s="2" t="s">
        <v>8</v>
      </c>
    </row>
    <row r="141" customFormat="false" ht="39.55" hidden="false" customHeight="false" outlineLevel="0" collapsed="false">
      <c r="A141" s="2" t="n">
        <v>140</v>
      </c>
      <c r="B141" s="3" t="s">
        <v>177</v>
      </c>
      <c r="C141" s="2" t="s">
        <v>12</v>
      </c>
      <c r="D141" s="2" t="s">
        <v>50</v>
      </c>
    </row>
    <row r="142" customFormat="false" ht="15" hidden="false" customHeight="false" outlineLevel="0" collapsed="false">
      <c r="A142" s="2" t="n">
        <v>141</v>
      </c>
      <c r="B142" s="3" t="s">
        <v>178</v>
      </c>
      <c r="C142" s="2" t="s">
        <v>5</v>
      </c>
      <c r="D142" s="2" t="s">
        <v>33</v>
      </c>
    </row>
    <row r="143" customFormat="false" ht="15" hidden="false" customHeight="false" outlineLevel="0" collapsed="false">
      <c r="A143" s="2" t="n">
        <v>142</v>
      </c>
      <c r="B143" s="3" t="s">
        <v>179</v>
      </c>
      <c r="C143" s="2" t="s">
        <v>15</v>
      </c>
      <c r="D143" s="2" t="s">
        <v>33</v>
      </c>
    </row>
    <row r="144" customFormat="false" ht="39.55" hidden="false" customHeight="false" outlineLevel="0" collapsed="false">
      <c r="A144" s="2" t="n">
        <v>143</v>
      </c>
      <c r="B144" s="3" t="s">
        <v>180</v>
      </c>
      <c r="C144" s="2" t="s">
        <v>12</v>
      </c>
      <c r="D144" s="2" t="s">
        <v>19</v>
      </c>
    </row>
    <row r="145" customFormat="false" ht="26.85" hidden="false" customHeight="false" outlineLevel="0" collapsed="false">
      <c r="A145" s="2" t="n">
        <v>144</v>
      </c>
      <c r="B145" s="3" t="s">
        <v>181</v>
      </c>
      <c r="C145" s="2" t="s">
        <v>15</v>
      </c>
      <c r="D145" s="2" t="s">
        <v>8</v>
      </c>
    </row>
    <row r="146" customFormat="false" ht="39.55" hidden="false" customHeight="false" outlineLevel="0" collapsed="false">
      <c r="A146" s="2" t="n">
        <v>145</v>
      </c>
      <c r="B146" s="3" t="s">
        <v>182</v>
      </c>
      <c r="C146" s="2" t="s">
        <v>12</v>
      </c>
      <c r="D146" s="2" t="s">
        <v>6</v>
      </c>
    </row>
    <row r="147" customFormat="false" ht="26.85" hidden="false" customHeight="false" outlineLevel="0" collapsed="false">
      <c r="A147" s="2" t="n">
        <v>146</v>
      </c>
      <c r="B147" s="3" t="s">
        <v>183</v>
      </c>
      <c r="C147" s="2" t="s">
        <v>12</v>
      </c>
      <c r="D147" s="2" t="s">
        <v>10</v>
      </c>
    </row>
    <row r="148" customFormat="false" ht="39.55" hidden="false" customHeight="false" outlineLevel="0" collapsed="false">
      <c r="A148" s="2" t="n">
        <v>147</v>
      </c>
      <c r="B148" s="3" t="s">
        <v>184</v>
      </c>
      <c r="C148" s="2" t="s">
        <v>12</v>
      </c>
      <c r="D148" s="2" t="s">
        <v>19</v>
      </c>
    </row>
    <row r="149" customFormat="false" ht="26.85" hidden="false" customHeight="false" outlineLevel="0" collapsed="false">
      <c r="A149" s="2" t="n">
        <v>148</v>
      </c>
      <c r="B149" s="3" t="s">
        <v>185</v>
      </c>
      <c r="C149" s="2" t="s">
        <v>5</v>
      </c>
      <c r="D149" s="2" t="s">
        <v>41</v>
      </c>
    </row>
    <row r="150" customFormat="false" ht="26.85" hidden="false" customHeight="false" outlineLevel="0" collapsed="false">
      <c r="A150" s="2" t="n">
        <v>149</v>
      </c>
      <c r="B150" s="3" t="s">
        <v>186</v>
      </c>
      <c r="C150" s="2" t="s">
        <v>12</v>
      </c>
      <c r="D150" s="2" t="s">
        <v>19</v>
      </c>
    </row>
    <row r="151" customFormat="false" ht="15" hidden="false" customHeight="false" outlineLevel="0" collapsed="false">
      <c r="A151" s="2" t="n">
        <v>150</v>
      </c>
      <c r="B151" s="3" t="s">
        <v>187</v>
      </c>
      <c r="C151" s="2" t="s">
        <v>12</v>
      </c>
      <c r="D151" s="2" t="s">
        <v>21</v>
      </c>
    </row>
    <row r="152" customFormat="false" ht="26.85" hidden="false" customHeight="false" outlineLevel="0" collapsed="false">
      <c r="A152" s="2" t="n">
        <v>151</v>
      </c>
      <c r="B152" s="3" t="s">
        <v>188</v>
      </c>
      <c r="C152" s="2" t="s">
        <v>12</v>
      </c>
      <c r="D152" s="2" t="s">
        <v>19</v>
      </c>
    </row>
    <row r="153" customFormat="false" ht="26.85" hidden="false" customHeight="false" outlineLevel="0" collapsed="false">
      <c r="A153" s="2" t="n">
        <v>152</v>
      </c>
      <c r="B153" s="3" t="s">
        <v>189</v>
      </c>
      <c r="C153" s="2" t="s">
        <v>12</v>
      </c>
      <c r="D153" s="2" t="s">
        <v>190</v>
      </c>
    </row>
    <row r="154" customFormat="false" ht="26.85" hidden="false" customHeight="false" outlineLevel="0" collapsed="false">
      <c r="A154" s="2" t="n">
        <v>153</v>
      </c>
      <c r="B154" s="3" t="s">
        <v>191</v>
      </c>
      <c r="C154" s="2" t="s">
        <v>5</v>
      </c>
      <c r="D154" s="2" t="s">
        <v>33</v>
      </c>
    </row>
    <row r="155" customFormat="false" ht="39.55" hidden="false" customHeight="false" outlineLevel="0" collapsed="false">
      <c r="A155" s="2" t="n">
        <v>154</v>
      </c>
      <c r="B155" s="3" t="s">
        <v>192</v>
      </c>
      <c r="C155" s="2" t="s">
        <v>5</v>
      </c>
      <c r="D155" s="2" t="s">
        <v>29</v>
      </c>
    </row>
    <row r="156" customFormat="false" ht="52.2" hidden="false" customHeight="false" outlineLevel="0" collapsed="false">
      <c r="A156" s="2" t="n">
        <v>155</v>
      </c>
      <c r="B156" s="3" t="s">
        <v>193</v>
      </c>
      <c r="C156" s="2" t="s">
        <v>5</v>
      </c>
      <c r="D156" s="2" t="s">
        <v>33</v>
      </c>
    </row>
    <row r="157" customFormat="false" ht="15" hidden="false" customHeight="false" outlineLevel="0" collapsed="false">
      <c r="A157" s="2" t="n">
        <v>156</v>
      </c>
      <c r="B157" s="3" t="s">
        <v>194</v>
      </c>
      <c r="C157" s="2" t="s">
        <v>12</v>
      </c>
      <c r="D157" s="2" t="s">
        <v>10</v>
      </c>
    </row>
    <row r="158" customFormat="false" ht="39.55" hidden="false" customHeight="false" outlineLevel="0" collapsed="false">
      <c r="A158" s="2" t="n">
        <v>157</v>
      </c>
      <c r="B158" s="3" t="s">
        <v>195</v>
      </c>
      <c r="C158" s="2" t="s">
        <v>5</v>
      </c>
      <c r="D158" s="2" t="s">
        <v>33</v>
      </c>
    </row>
    <row r="159" customFormat="false" ht="15" hidden="false" customHeight="false" outlineLevel="0" collapsed="false">
      <c r="A159" s="2" t="n">
        <v>158</v>
      </c>
      <c r="B159" s="3" t="s">
        <v>196</v>
      </c>
      <c r="C159" s="2" t="s">
        <v>12</v>
      </c>
      <c r="D159" s="2" t="s">
        <v>19</v>
      </c>
    </row>
    <row r="160" customFormat="false" ht="39.55" hidden="false" customHeight="false" outlineLevel="0" collapsed="false">
      <c r="A160" s="2" t="n">
        <v>159</v>
      </c>
      <c r="B160" s="3" t="s">
        <v>197</v>
      </c>
      <c r="C160" s="2" t="s">
        <v>5</v>
      </c>
      <c r="D160" s="2" t="s">
        <v>50</v>
      </c>
    </row>
    <row r="161" customFormat="false" ht="15" hidden="false" customHeight="false" outlineLevel="0" collapsed="false">
      <c r="A161" s="2" t="n">
        <v>160</v>
      </c>
      <c r="B161" s="3" t="s">
        <v>198</v>
      </c>
      <c r="C161" s="2" t="s">
        <v>12</v>
      </c>
      <c r="D161" s="2" t="s">
        <v>8</v>
      </c>
    </row>
    <row r="162" customFormat="false" ht="15" hidden="false" customHeight="false" outlineLevel="0" collapsed="false">
      <c r="A162" s="2" t="n">
        <v>161</v>
      </c>
      <c r="B162" s="3" t="s">
        <v>199</v>
      </c>
      <c r="C162" s="2" t="s">
        <v>5</v>
      </c>
      <c r="D162" s="2" t="s">
        <v>33</v>
      </c>
    </row>
    <row r="163" customFormat="false" ht="52.2" hidden="false" customHeight="false" outlineLevel="0" collapsed="false">
      <c r="A163" s="2" t="n">
        <v>162</v>
      </c>
      <c r="B163" s="3" t="s">
        <v>200</v>
      </c>
      <c r="C163" s="2" t="s">
        <v>12</v>
      </c>
      <c r="D163" s="2" t="s">
        <v>52</v>
      </c>
    </row>
    <row r="164" customFormat="false" ht="26.85" hidden="false" customHeight="false" outlineLevel="0" collapsed="false">
      <c r="A164" s="2" t="n">
        <v>163</v>
      </c>
      <c r="B164" s="3" t="s">
        <v>201</v>
      </c>
      <c r="C164" s="2" t="s">
        <v>5</v>
      </c>
      <c r="D164" s="2" t="s">
        <v>26</v>
      </c>
    </row>
    <row r="165" customFormat="false" ht="26.85" hidden="false" customHeight="false" outlineLevel="0" collapsed="false">
      <c r="A165" s="2" t="n">
        <v>164</v>
      </c>
      <c r="B165" s="3" t="s">
        <v>202</v>
      </c>
      <c r="C165" s="2" t="s">
        <v>12</v>
      </c>
      <c r="D165" s="2" t="s">
        <v>171</v>
      </c>
    </row>
    <row r="166" customFormat="false" ht="39.55" hidden="false" customHeight="false" outlineLevel="0" collapsed="false">
      <c r="A166" s="2" t="n">
        <v>165</v>
      </c>
      <c r="B166" s="3" t="s">
        <v>203</v>
      </c>
      <c r="C166" s="2" t="s">
        <v>5</v>
      </c>
      <c r="D166" s="2" t="s">
        <v>24</v>
      </c>
    </row>
    <row r="167" customFormat="false" ht="15" hidden="false" customHeight="false" outlineLevel="0" collapsed="false">
      <c r="A167" s="2" t="n">
        <v>166</v>
      </c>
      <c r="B167" s="3" t="s">
        <v>204</v>
      </c>
      <c r="C167" s="2" t="s">
        <v>5</v>
      </c>
      <c r="D167" s="2" t="s">
        <v>10</v>
      </c>
    </row>
    <row r="168" customFormat="false" ht="15" hidden="false" customHeight="false" outlineLevel="0" collapsed="false">
      <c r="A168" s="2" t="n">
        <v>167</v>
      </c>
      <c r="B168" s="3" t="s">
        <v>205</v>
      </c>
      <c r="C168" s="2" t="s">
        <v>5</v>
      </c>
      <c r="D168" s="2" t="s">
        <v>33</v>
      </c>
    </row>
    <row r="169" customFormat="false" ht="39.55" hidden="false" customHeight="false" outlineLevel="0" collapsed="false">
      <c r="A169" s="2" t="n">
        <v>168</v>
      </c>
      <c r="B169" s="3" t="s">
        <v>206</v>
      </c>
      <c r="C169" s="2" t="s">
        <v>5</v>
      </c>
      <c r="D169" s="2" t="s">
        <v>33</v>
      </c>
    </row>
    <row r="170" customFormat="false" ht="39.55" hidden="false" customHeight="false" outlineLevel="0" collapsed="false">
      <c r="A170" s="2" t="n">
        <v>169</v>
      </c>
      <c r="B170" s="3" t="s">
        <v>207</v>
      </c>
      <c r="C170" s="2" t="s">
        <v>5</v>
      </c>
      <c r="D170" s="2" t="s">
        <v>77</v>
      </c>
    </row>
    <row r="171" customFormat="false" ht="26.85" hidden="false" customHeight="false" outlineLevel="0" collapsed="false">
      <c r="A171" s="2" t="n">
        <v>170</v>
      </c>
      <c r="B171" s="3" t="s">
        <v>208</v>
      </c>
      <c r="C171" s="2" t="s">
        <v>5</v>
      </c>
      <c r="D171" s="2" t="s">
        <v>52</v>
      </c>
    </row>
    <row r="172" customFormat="false" ht="26.85" hidden="false" customHeight="false" outlineLevel="0" collapsed="false">
      <c r="A172" s="2" t="n">
        <v>171</v>
      </c>
      <c r="B172" s="3" t="s">
        <v>209</v>
      </c>
      <c r="C172" s="2" t="s">
        <v>5</v>
      </c>
      <c r="D172" s="2" t="s">
        <v>210</v>
      </c>
    </row>
    <row r="173" customFormat="false" ht="39.55" hidden="false" customHeight="false" outlineLevel="0" collapsed="false">
      <c r="A173" s="2" t="n">
        <v>172</v>
      </c>
      <c r="B173" s="3" t="s">
        <v>211</v>
      </c>
      <c r="C173" s="2" t="s">
        <v>15</v>
      </c>
      <c r="D173" s="2" t="s">
        <v>10</v>
      </c>
    </row>
    <row r="174" customFormat="false" ht="15" hidden="false" customHeight="false" outlineLevel="0" collapsed="false">
      <c r="A174" s="2" t="n">
        <v>173</v>
      </c>
      <c r="B174" s="3" t="s">
        <v>212</v>
      </c>
      <c r="C174" s="2" t="s">
        <v>12</v>
      </c>
      <c r="D174" s="2" t="s">
        <v>21</v>
      </c>
    </row>
    <row r="175" customFormat="false" ht="15" hidden="false" customHeight="false" outlineLevel="0" collapsed="false">
      <c r="A175" s="2" t="n">
        <v>174</v>
      </c>
      <c r="B175" s="3" t="s">
        <v>213</v>
      </c>
      <c r="C175" s="2" t="s">
        <v>5</v>
      </c>
      <c r="D175" s="2" t="s">
        <v>21</v>
      </c>
    </row>
    <row r="176" customFormat="false" ht="39.55" hidden="false" customHeight="false" outlineLevel="0" collapsed="false">
      <c r="A176" s="2" t="n">
        <v>175</v>
      </c>
      <c r="B176" s="3" t="s">
        <v>214</v>
      </c>
      <c r="C176" s="2" t="s">
        <v>12</v>
      </c>
      <c r="D176" s="2" t="s">
        <v>215</v>
      </c>
    </row>
    <row r="177" customFormat="false" ht="15" hidden="false" customHeight="false" outlineLevel="0" collapsed="false">
      <c r="A177" s="2" t="n">
        <v>176</v>
      </c>
      <c r="B177" s="3" t="s">
        <v>216</v>
      </c>
      <c r="C177" s="2" t="s">
        <v>5</v>
      </c>
      <c r="D177" s="2" t="s">
        <v>10</v>
      </c>
    </row>
    <row r="178" customFormat="false" ht="52.2" hidden="false" customHeight="false" outlineLevel="0" collapsed="false">
      <c r="A178" s="2" t="n">
        <v>177</v>
      </c>
      <c r="B178" s="3" t="s">
        <v>217</v>
      </c>
      <c r="C178" s="2" t="s">
        <v>15</v>
      </c>
      <c r="D178" s="2" t="s">
        <v>10</v>
      </c>
    </row>
    <row r="179" customFormat="false" ht="52.2" hidden="false" customHeight="false" outlineLevel="0" collapsed="false">
      <c r="A179" s="2" t="n">
        <v>178</v>
      </c>
      <c r="B179" s="3" t="s">
        <v>218</v>
      </c>
      <c r="C179" s="2" t="s">
        <v>5</v>
      </c>
      <c r="D179" s="2" t="s">
        <v>41</v>
      </c>
    </row>
    <row r="180" customFormat="false" ht="15" hidden="false" customHeight="false" outlineLevel="0" collapsed="false">
      <c r="A180" s="2" t="n">
        <v>179</v>
      </c>
      <c r="B180" s="3" t="s">
        <v>219</v>
      </c>
      <c r="C180" s="2" t="s">
        <v>15</v>
      </c>
      <c r="D180" s="2" t="s">
        <v>21</v>
      </c>
    </row>
    <row r="181" customFormat="false" ht="39.55" hidden="false" customHeight="false" outlineLevel="0" collapsed="false">
      <c r="A181" s="2" t="n">
        <v>180</v>
      </c>
      <c r="B181" s="3" t="s">
        <v>220</v>
      </c>
      <c r="C181" s="2" t="s">
        <v>5</v>
      </c>
      <c r="D181" s="2" t="s">
        <v>21</v>
      </c>
    </row>
    <row r="182" customFormat="false" ht="26.85" hidden="false" customHeight="false" outlineLevel="0" collapsed="false">
      <c r="A182" s="2" t="n">
        <v>181</v>
      </c>
      <c r="B182" s="3" t="s">
        <v>221</v>
      </c>
      <c r="C182" s="2" t="s">
        <v>5</v>
      </c>
      <c r="D182" s="2" t="s">
        <v>33</v>
      </c>
    </row>
    <row r="183" customFormat="false" ht="39.55" hidden="false" customHeight="false" outlineLevel="0" collapsed="false">
      <c r="A183" s="2" t="n">
        <v>182</v>
      </c>
      <c r="B183" s="3" t="s">
        <v>222</v>
      </c>
      <c r="C183" s="2" t="s">
        <v>12</v>
      </c>
      <c r="D183" s="2" t="s">
        <v>29</v>
      </c>
    </row>
    <row r="184" customFormat="false" ht="15" hidden="false" customHeight="false" outlineLevel="0" collapsed="false">
      <c r="A184" s="2" t="n">
        <v>183</v>
      </c>
      <c r="B184" s="3" t="s">
        <v>223</v>
      </c>
      <c r="C184" s="2" t="s">
        <v>5</v>
      </c>
      <c r="D184" s="2" t="s">
        <v>224</v>
      </c>
    </row>
    <row r="185" customFormat="false" ht="26.85" hidden="false" customHeight="false" outlineLevel="0" collapsed="false">
      <c r="A185" s="2" t="n">
        <v>184</v>
      </c>
      <c r="B185" s="3" t="s">
        <v>225</v>
      </c>
      <c r="C185" s="2" t="s">
        <v>5</v>
      </c>
      <c r="D185" s="2" t="s">
        <v>41</v>
      </c>
    </row>
    <row r="186" customFormat="false" ht="52.2" hidden="false" customHeight="false" outlineLevel="0" collapsed="false">
      <c r="A186" s="2" t="n">
        <v>185</v>
      </c>
      <c r="B186" s="3" t="s">
        <v>226</v>
      </c>
      <c r="C186" s="2" t="s">
        <v>12</v>
      </c>
      <c r="D186" s="2" t="s">
        <v>10</v>
      </c>
    </row>
    <row r="187" customFormat="false" ht="15" hidden="false" customHeight="false" outlineLevel="0" collapsed="false">
      <c r="A187" s="2" t="n">
        <v>186</v>
      </c>
      <c r="B187" s="3" t="s">
        <v>227</v>
      </c>
      <c r="C187" s="2" t="s">
        <v>12</v>
      </c>
      <c r="D187" s="2" t="s">
        <v>17</v>
      </c>
    </row>
    <row r="188" customFormat="false" ht="15" hidden="false" customHeight="false" outlineLevel="0" collapsed="false">
      <c r="A188" s="2" t="n">
        <v>187</v>
      </c>
      <c r="B188" s="3" t="s">
        <v>228</v>
      </c>
      <c r="C188" s="2" t="s">
        <v>5</v>
      </c>
      <c r="D188" s="2" t="s">
        <v>21</v>
      </c>
    </row>
    <row r="189" customFormat="false" ht="26.85" hidden="false" customHeight="false" outlineLevel="0" collapsed="false">
      <c r="A189" s="2" t="n">
        <v>188</v>
      </c>
      <c r="B189" s="3" t="s">
        <v>229</v>
      </c>
      <c r="C189" s="2" t="s">
        <v>12</v>
      </c>
      <c r="D189" s="2" t="s">
        <v>10</v>
      </c>
    </row>
    <row r="190" customFormat="false" ht="15" hidden="false" customHeight="false" outlineLevel="0" collapsed="false">
      <c r="A190" s="2" t="n">
        <v>189</v>
      </c>
      <c r="B190" s="3" t="s">
        <v>230</v>
      </c>
      <c r="C190" s="2" t="s">
        <v>12</v>
      </c>
      <c r="D190" s="2" t="s">
        <v>72</v>
      </c>
    </row>
    <row r="191" customFormat="false" ht="26.85" hidden="false" customHeight="false" outlineLevel="0" collapsed="false">
      <c r="A191" s="2" t="n">
        <v>190</v>
      </c>
      <c r="B191" s="3" t="s">
        <v>231</v>
      </c>
      <c r="C191" s="2" t="s">
        <v>5</v>
      </c>
      <c r="D191" s="2" t="s">
        <v>24</v>
      </c>
    </row>
    <row r="192" customFormat="false" ht="39.55" hidden="false" customHeight="false" outlineLevel="0" collapsed="false">
      <c r="A192" s="2" t="n">
        <v>191</v>
      </c>
      <c r="B192" s="3" t="s">
        <v>232</v>
      </c>
      <c r="C192" s="2" t="s">
        <v>12</v>
      </c>
      <c r="D192" s="2" t="s">
        <v>10</v>
      </c>
    </row>
    <row r="193" customFormat="false" ht="26.85" hidden="false" customHeight="false" outlineLevel="0" collapsed="false">
      <c r="A193" s="2" t="n">
        <v>192</v>
      </c>
      <c r="B193" s="3" t="s">
        <v>233</v>
      </c>
      <c r="C193" s="2" t="s">
        <v>5</v>
      </c>
      <c r="D193" s="2" t="s">
        <v>234</v>
      </c>
    </row>
    <row r="194" customFormat="false" ht="26.85" hidden="false" customHeight="false" outlineLevel="0" collapsed="false">
      <c r="A194" s="2" t="n">
        <v>193</v>
      </c>
      <c r="B194" s="3" t="s">
        <v>235</v>
      </c>
      <c r="C194" s="2" t="s">
        <v>15</v>
      </c>
      <c r="D194" s="2" t="s">
        <v>8</v>
      </c>
    </row>
    <row r="195" customFormat="false" ht="15" hidden="false" customHeight="false" outlineLevel="0" collapsed="false">
      <c r="A195" s="2" t="n">
        <v>194</v>
      </c>
      <c r="B195" s="3" t="s">
        <v>236</v>
      </c>
      <c r="C195" s="2" t="s">
        <v>5</v>
      </c>
      <c r="D195" s="2" t="s">
        <v>21</v>
      </c>
    </row>
    <row r="196" customFormat="false" ht="15" hidden="false" customHeight="false" outlineLevel="0" collapsed="false">
      <c r="A196" s="2" t="n">
        <v>195</v>
      </c>
      <c r="B196" s="3" t="s">
        <v>237</v>
      </c>
      <c r="C196" s="2" t="s">
        <v>5</v>
      </c>
      <c r="D196" s="2" t="s">
        <v>17</v>
      </c>
    </row>
    <row r="197" customFormat="false" ht="26.85" hidden="false" customHeight="false" outlineLevel="0" collapsed="false">
      <c r="A197" s="2" t="n">
        <v>196</v>
      </c>
      <c r="B197" s="3" t="s">
        <v>238</v>
      </c>
      <c r="C197" s="2" t="s">
        <v>5</v>
      </c>
      <c r="D197" s="2" t="s">
        <v>21</v>
      </c>
    </row>
    <row r="198" customFormat="false" ht="26.85" hidden="false" customHeight="false" outlineLevel="0" collapsed="false">
      <c r="A198" s="2" t="n">
        <v>197</v>
      </c>
      <c r="B198" s="3" t="s">
        <v>239</v>
      </c>
      <c r="C198" s="2" t="s">
        <v>12</v>
      </c>
      <c r="D198" s="2" t="s">
        <v>240</v>
      </c>
    </row>
    <row r="199" customFormat="false" ht="15" hidden="false" customHeight="false" outlineLevel="0" collapsed="false">
      <c r="A199" s="2" t="n">
        <v>198</v>
      </c>
      <c r="B199" s="3" t="s">
        <v>241</v>
      </c>
      <c r="C199" s="2" t="s">
        <v>5</v>
      </c>
      <c r="D199" s="2" t="s">
        <v>10</v>
      </c>
    </row>
    <row r="200" customFormat="false" ht="15" hidden="false" customHeight="false" outlineLevel="0" collapsed="false">
      <c r="A200" s="2" t="n">
        <v>199</v>
      </c>
      <c r="B200" s="3" t="s">
        <v>242</v>
      </c>
      <c r="C200" s="2" t="s">
        <v>5</v>
      </c>
      <c r="D200" s="2" t="s">
        <v>21</v>
      </c>
    </row>
    <row r="201" customFormat="false" ht="15" hidden="false" customHeight="false" outlineLevel="0" collapsed="false">
      <c r="A201" s="2" t="n">
        <v>200</v>
      </c>
      <c r="B201" s="3" t="s">
        <v>243</v>
      </c>
      <c r="C201" s="2" t="s">
        <v>5</v>
      </c>
      <c r="D201" s="2" t="s">
        <v>33</v>
      </c>
    </row>
    <row r="202" customFormat="false" ht="64.9" hidden="false" customHeight="false" outlineLevel="0" collapsed="false">
      <c r="A202" s="2" t="n">
        <v>201</v>
      </c>
      <c r="B202" s="3" t="s">
        <v>244</v>
      </c>
      <c r="C202" s="2" t="s">
        <v>5</v>
      </c>
      <c r="D202" s="2" t="s">
        <v>245</v>
      </c>
    </row>
    <row r="203" customFormat="false" ht="15" hidden="false" customHeight="false" outlineLevel="0" collapsed="false">
      <c r="A203" s="2" t="n">
        <v>202</v>
      </c>
      <c r="B203" s="3" t="s">
        <v>246</v>
      </c>
      <c r="C203" s="2" t="s">
        <v>12</v>
      </c>
      <c r="D203" s="2" t="s">
        <v>10</v>
      </c>
    </row>
    <row r="204" customFormat="false" ht="15" hidden="false" customHeight="false" outlineLevel="0" collapsed="false">
      <c r="A204" s="2" t="n">
        <v>203</v>
      </c>
      <c r="B204" s="3" t="s">
        <v>247</v>
      </c>
      <c r="C204" s="2" t="s">
        <v>12</v>
      </c>
      <c r="D204" s="2" t="s">
        <v>31</v>
      </c>
    </row>
    <row r="205" customFormat="false" ht="26.85" hidden="false" customHeight="false" outlineLevel="0" collapsed="false">
      <c r="A205" s="2" t="n">
        <v>204</v>
      </c>
      <c r="B205" s="3" t="s">
        <v>248</v>
      </c>
      <c r="C205" s="2" t="s">
        <v>5</v>
      </c>
      <c r="D205" s="2" t="s">
        <v>10</v>
      </c>
    </row>
    <row r="206" customFormat="false" ht="26.85" hidden="false" customHeight="false" outlineLevel="0" collapsed="false">
      <c r="A206" s="2" t="n">
        <v>205</v>
      </c>
      <c r="B206" s="3" t="s">
        <v>249</v>
      </c>
      <c r="C206" s="2" t="s">
        <v>5</v>
      </c>
      <c r="D206" s="2" t="s">
        <v>50</v>
      </c>
    </row>
    <row r="207" customFormat="false" ht="15" hidden="false" customHeight="false" outlineLevel="0" collapsed="false">
      <c r="A207" s="2" t="n">
        <v>206</v>
      </c>
      <c r="B207" s="3" t="s">
        <v>250</v>
      </c>
      <c r="C207" s="2" t="s">
        <v>5</v>
      </c>
      <c r="D207" s="2" t="s">
        <v>8</v>
      </c>
    </row>
    <row r="208" customFormat="false" ht="15" hidden="false" customHeight="false" outlineLevel="0" collapsed="false">
      <c r="A208" s="2" t="n">
        <v>207</v>
      </c>
      <c r="B208" s="3" t="s">
        <v>251</v>
      </c>
      <c r="C208" s="2" t="s">
        <v>5</v>
      </c>
      <c r="D208" s="2" t="s">
        <v>50</v>
      </c>
    </row>
    <row r="209" customFormat="false" ht="15" hidden="false" customHeight="false" outlineLevel="0" collapsed="false">
      <c r="A209" s="2" t="n">
        <v>208</v>
      </c>
      <c r="B209" s="3" t="s">
        <v>252</v>
      </c>
      <c r="C209" s="2" t="s">
        <v>15</v>
      </c>
      <c r="D209" s="2" t="s">
        <v>8</v>
      </c>
    </row>
    <row r="210" customFormat="false" ht="26.85" hidden="false" customHeight="false" outlineLevel="0" collapsed="false">
      <c r="A210" s="2" t="n">
        <v>209</v>
      </c>
      <c r="B210" s="3" t="s">
        <v>253</v>
      </c>
      <c r="C210" s="2" t="s">
        <v>5</v>
      </c>
      <c r="D210" s="2" t="s">
        <v>17</v>
      </c>
    </row>
    <row r="211" customFormat="false" ht="15" hidden="false" customHeight="false" outlineLevel="0" collapsed="false">
      <c r="A211" s="2" t="n">
        <v>210</v>
      </c>
      <c r="B211" s="3" t="s">
        <v>254</v>
      </c>
      <c r="C211" s="2" t="s">
        <v>5</v>
      </c>
      <c r="D211" s="2" t="s">
        <v>29</v>
      </c>
    </row>
    <row r="212" customFormat="false" ht="26.85" hidden="false" customHeight="false" outlineLevel="0" collapsed="false">
      <c r="A212" s="2" t="n">
        <v>211</v>
      </c>
      <c r="B212" s="3" t="s">
        <v>255</v>
      </c>
      <c r="C212" s="2" t="s">
        <v>12</v>
      </c>
      <c r="D212" s="2" t="s">
        <v>8</v>
      </c>
    </row>
    <row r="213" customFormat="false" ht="26.85" hidden="false" customHeight="false" outlineLevel="0" collapsed="false">
      <c r="A213" s="2" t="n">
        <v>212</v>
      </c>
      <c r="B213" s="3" t="s">
        <v>256</v>
      </c>
      <c r="C213" s="2" t="s">
        <v>5</v>
      </c>
      <c r="D213" s="2" t="s">
        <v>257</v>
      </c>
    </row>
    <row r="214" customFormat="false" ht="26.85" hidden="false" customHeight="false" outlineLevel="0" collapsed="false">
      <c r="A214" s="2" t="n">
        <v>213</v>
      </c>
      <c r="B214" s="3" t="s">
        <v>258</v>
      </c>
      <c r="C214" s="2" t="s">
        <v>5</v>
      </c>
      <c r="D214" s="2" t="s">
        <v>171</v>
      </c>
    </row>
    <row r="215" customFormat="false" ht="26.85" hidden="false" customHeight="false" outlineLevel="0" collapsed="false">
      <c r="A215" s="2" t="n">
        <v>214</v>
      </c>
      <c r="B215" s="3" t="s">
        <v>259</v>
      </c>
      <c r="C215" s="2" t="s">
        <v>12</v>
      </c>
      <c r="D215" s="2" t="s">
        <v>10</v>
      </c>
    </row>
    <row r="216" customFormat="false" ht="15" hidden="false" customHeight="false" outlineLevel="0" collapsed="false">
      <c r="A216" s="2" t="n">
        <v>215</v>
      </c>
      <c r="B216" s="3" t="s">
        <v>260</v>
      </c>
      <c r="C216" s="2" t="s">
        <v>12</v>
      </c>
      <c r="D216" s="2" t="s">
        <v>10</v>
      </c>
    </row>
    <row r="217" customFormat="false" ht="39.55" hidden="false" customHeight="false" outlineLevel="0" collapsed="false">
      <c r="A217" s="2" t="n">
        <v>216</v>
      </c>
      <c r="B217" s="3" t="s">
        <v>261</v>
      </c>
      <c r="C217" s="2" t="s">
        <v>5</v>
      </c>
      <c r="D217" s="2" t="s">
        <v>10</v>
      </c>
    </row>
    <row r="218" customFormat="false" ht="15" hidden="false" customHeight="false" outlineLevel="0" collapsed="false">
      <c r="A218" s="2" t="n">
        <v>217</v>
      </c>
      <c r="B218" s="3" t="s">
        <v>262</v>
      </c>
      <c r="C218" s="2" t="s">
        <v>12</v>
      </c>
      <c r="D218" s="2" t="s">
        <v>21</v>
      </c>
    </row>
    <row r="219" customFormat="false" ht="15" hidden="false" customHeight="false" outlineLevel="0" collapsed="false">
      <c r="A219" s="2" t="n">
        <v>218</v>
      </c>
      <c r="B219" s="3" t="s">
        <v>263</v>
      </c>
      <c r="C219" s="2" t="s">
        <v>12</v>
      </c>
      <c r="D219" s="2" t="s">
        <v>21</v>
      </c>
    </row>
    <row r="220" customFormat="false" ht="26.85" hidden="false" customHeight="false" outlineLevel="0" collapsed="false">
      <c r="A220" s="2" t="n">
        <v>219</v>
      </c>
      <c r="B220" s="3" t="s">
        <v>264</v>
      </c>
      <c r="C220" s="2" t="s">
        <v>12</v>
      </c>
      <c r="D220" s="2" t="s">
        <v>19</v>
      </c>
    </row>
    <row r="221" customFormat="false" ht="15" hidden="false" customHeight="false" outlineLevel="0" collapsed="false">
      <c r="A221" s="2" t="n">
        <v>220</v>
      </c>
      <c r="B221" s="3" t="s">
        <v>265</v>
      </c>
      <c r="C221" s="2" t="s">
        <v>5</v>
      </c>
      <c r="D221" s="2" t="s">
        <v>41</v>
      </c>
    </row>
    <row r="222" customFormat="false" ht="26.85" hidden="false" customHeight="false" outlineLevel="0" collapsed="false">
      <c r="A222" s="2" t="n">
        <v>221</v>
      </c>
      <c r="B222" s="3" t="s">
        <v>266</v>
      </c>
      <c r="C222" s="2" t="s">
        <v>5</v>
      </c>
      <c r="D222" s="2" t="s">
        <v>8</v>
      </c>
    </row>
    <row r="223" customFormat="false" ht="26.85" hidden="false" customHeight="false" outlineLevel="0" collapsed="false">
      <c r="A223" s="2" t="n">
        <v>222</v>
      </c>
      <c r="B223" s="3" t="s">
        <v>267</v>
      </c>
      <c r="C223" s="2" t="s">
        <v>5</v>
      </c>
      <c r="D223" s="2" t="s">
        <v>52</v>
      </c>
    </row>
    <row r="224" customFormat="false" ht="26.85" hidden="false" customHeight="false" outlineLevel="0" collapsed="false">
      <c r="A224" s="2" t="n">
        <v>223</v>
      </c>
      <c r="B224" s="3" t="s">
        <v>268</v>
      </c>
      <c r="C224" s="2" t="s">
        <v>5</v>
      </c>
      <c r="D224" s="2" t="s">
        <v>10</v>
      </c>
    </row>
    <row r="225" customFormat="false" ht="26.85" hidden="false" customHeight="false" outlineLevel="0" collapsed="false">
      <c r="A225" s="2" t="n">
        <v>224</v>
      </c>
      <c r="B225" s="3" t="s">
        <v>269</v>
      </c>
      <c r="C225" s="2" t="s">
        <v>15</v>
      </c>
      <c r="D225" s="2" t="s">
        <v>10</v>
      </c>
    </row>
    <row r="226" customFormat="false" ht="26.85" hidden="false" customHeight="false" outlineLevel="0" collapsed="false">
      <c r="A226" s="2" t="n">
        <v>225</v>
      </c>
      <c r="B226" s="3" t="s">
        <v>270</v>
      </c>
      <c r="C226" s="2" t="s">
        <v>5</v>
      </c>
      <c r="D226" s="2" t="s">
        <v>271</v>
      </c>
    </row>
    <row r="227" customFormat="false" ht="15" hidden="false" customHeight="false" outlineLevel="0" collapsed="false">
      <c r="A227" s="2" t="n">
        <v>226</v>
      </c>
      <c r="B227" s="3" t="s">
        <v>272</v>
      </c>
      <c r="C227" s="2" t="s">
        <v>12</v>
      </c>
      <c r="D227" s="2" t="s">
        <v>10</v>
      </c>
    </row>
    <row r="228" customFormat="false" ht="26.85" hidden="false" customHeight="false" outlineLevel="0" collapsed="false">
      <c r="A228" s="2" t="n">
        <v>227</v>
      </c>
      <c r="B228" s="3" t="s">
        <v>273</v>
      </c>
      <c r="C228" s="2" t="s">
        <v>12</v>
      </c>
      <c r="D228" s="2" t="s">
        <v>171</v>
      </c>
    </row>
    <row r="229" customFormat="false" ht="15" hidden="false" customHeight="false" outlineLevel="0" collapsed="false">
      <c r="A229" s="2" t="n">
        <v>228</v>
      </c>
      <c r="B229" s="3" t="s">
        <v>274</v>
      </c>
      <c r="C229" s="2" t="s">
        <v>5</v>
      </c>
      <c r="D229" s="2" t="s">
        <v>21</v>
      </c>
    </row>
    <row r="230" customFormat="false" ht="15" hidden="false" customHeight="false" outlineLevel="0" collapsed="false">
      <c r="A230" s="2" t="n">
        <v>229</v>
      </c>
      <c r="B230" s="3" t="s">
        <v>275</v>
      </c>
      <c r="C230" s="2" t="s">
        <v>15</v>
      </c>
      <c r="D230" s="2" t="s">
        <v>21</v>
      </c>
    </row>
    <row r="231" customFormat="false" ht="15" hidden="false" customHeight="false" outlineLevel="0" collapsed="false">
      <c r="A231" s="2" t="n">
        <v>230</v>
      </c>
      <c r="B231" s="3" t="s">
        <v>276</v>
      </c>
      <c r="C231" s="2" t="s">
        <v>5</v>
      </c>
      <c r="D231" s="2" t="s">
        <v>10</v>
      </c>
    </row>
    <row r="232" customFormat="false" ht="39.55" hidden="false" customHeight="false" outlineLevel="0" collapsed="false">
      <c r="A232" s="2" t="n">
        <v>231</v>
      </c>
      <c r="B232" s="3" t="s">
        <v>277</v>
      </c>
      <c r="C232" s="2" t="s">
        <v>5</v>
      </c>
      <c r="D232" s="2" t="s">
        <v>240</v>
      </c>
    </row>
    <row r="233" customFormat="false" ht="26.85" hidden="false" customHeight="false" outlineLevel="0" collapsed="false">
      <c r="A233" s="2" t="n">
        <v>232</v>
      </c>
      <c r="B233" s="3" t="s">
        <v>278</v>
      </c>
      <c r="C233" s="2" t="s">
        <v>12</v>
      </c>
      <c r="D233" s="2" t="s">
        <v>19</v>
      </c>
    </row>
    <row r="234" customFormat="false" ht="52.2" hidden="false" customHeight="false" outlineLevel="0" collapsed="false">
      <c r="A234" s="2" t="n">
        <v>233</v>
      </c>
      <c r="B234" s="3" t="s">
        <v>279</v>
      </c>
      <c r="C234" s="2" t="s">
        <v>5</v>
      </c>
      <c r="D234" s="2" t="s">
        <v>10</v>
      </c>
    </row>
    <row r="235" customFormat="false" ht="39.55" hidden="false" customHeight="false" outlineLevel="0" collapsed="false">
      <c r="A235" s="2" t="n">
        <v>234</v>
      </c>
      <c r="B235" s="3" t="s">
        <v>280</v>
      </c>
      <c r="C235" s="2" t="s">
        <v>12</v>
      </c>
      <c r="D235" s="2" t="s">
        <v>50</v>
      </c>
    </row>
    <row r="236" customFormat="false" ht="15" hidden="false" customHeight="false" outlineLevel="0" collapsed="false">
      <c r="A236" s="2" t="n">
        <v>235</v>
      </c>
      <c r="B236" s="3" t="s">
        <v>281</v>
      </c>
      <c r="C236" s="2" t="s">
        <v>5</v>
      </c>
      <c r="D236" s="2" t="s">
        <v>210</v>
      </c>
    </row>
    <row r="237" customFormat="false" ht="26.85" hidden="false" customHeight="false" outlineLevel="0" collapsed="false">
      <c r="A237" s="2" t="n">
        <v>236</v>
      </c>
      <c r="B237" s="3" t="s">
        <v>282</v>
      </c>
      <c r="C237" s="2" t="s">
        <v>5</v>
      </c>
      <c r="D237" s="2" t="s">
        <v>283</v>
      </c>
    </row>
    <row r="238" customFormat="false" ht="15" hidden="false" customHeight="false" outlineLevel="0" collapsed="false">
      <c r="A238" s="2" t="n">
        <v>237</v>
      </c>
      <c r="B238" s="3" t="s">
        <v>284</v>
      </c>
      <c r="C238" s="2" t="s">
        <v>5</v>
      </c>
      <c r="D238" s="2" t="s">
        <v>8</v>
      </c>
    </row>
    <row r="239" customFormat="false" ht="26.85" hidden="false" customHeight="false" outlineLevel="0" collapsed="false">
      <c r="A239" s="2" t="n">
        <v>238</v>
      </c>
      <c r="B239" s="3" t="s">
        <v>285</v>
      </c>
      <c r="C239" s="2" t="s">
        <v>5</v>
      </c>
      <c r="D239" s="2" t="s">
        <v>10</v>
      </c>
    </row>
    <row r="240" customFormat="false" ht="39.55" hidden="false" customHeight="false" outlineLevel="0" collapsed="false">
      <c r="A240" s="2" t="n">
        <v>239</v>
      </c>
      <c r="B240" s="3" t="s">
        <v>286</v>
      </c>
      <c r="C240" s="2" t="s">
        <v>5</v>
      </c>
      <c r="D240" s="2" t="s">
        <v>10</v>
      </c>
    </row>
    <row r="241" customFormat="false" ht="26.85" hidden="false" customHeight="false" outlineLevel="0" collapsed="false">
      <c r="A241" s="2" t="n">
        <v>240</v>
      </c>
      <c r="B241" s="3" t="s">
        <v>287</v>
      </c>
      <c r="C241" s="2" t="s">
        <v>12</v>
      </c>
      <c r="D241" s="2" t="s">
        <v>134</v>
      </c>
    </row>
    <row r="242" customFormat="false" ht="52.2" hidden="false" customHeight="false" outlineLevel="0" collapsed="false">
      <c r="A242" s="2" t="n">
        <v>241</v>
      </c>
      <c r="B242" s="3" t="s">
        <v>288</v>
      </c>
      <c r="C242" s="2" t="s">
        <v>15</v>
      </c>
      <c r="D242" s="2" t="s">
        <v>289</v>
      </c>
    </row>
    <row r="243" customFormat="false" ht="26.85" hidden="false" customHeight="false" outlineLevel="0" collapsed="false">
      <c r="A243" s="2" t="n">
        <v>242</v>
      </c>
      <c r="B243" s="3" t="s">
        <v>290</v>
      </c>
      <c r="C243" s="2" t="s">
        <v>12</v>
      </c>
      <c r="D243" s="2" t="s">
        <v>10</v>
      </c>
    </row>
    <row r="244" customFormat="false" ht="15" hidden="false" customHeight="false" outlineLevel="0" collapsed="false">
      <c r="A244" s="2" t="n">
        <v>243</v>
      </c>
      <c r="B244" s="3" t="s">
        <v>291</v>
      </c>
      <c r="C244" s="2" t="s">
        <v>5</v>
      </c>
      <c r="D244" s="2" t="s">
        <v>17</v>
      </c>
    </row>
    <row r="245" customFormat="false" ht="39.55" hidden="false" customHeight="false" outlineLevel="0" collapsed="false">
      <c r="A245" s="2" t="n">
        <v>244</v>
      </c>
      <c r="B245" s="3" t="s">
        <v>292</v>
      </c>
      <c r="C245" s="2" t="s">
        <v>15</v>
      </c>
      <c r="D245" s="2" t="s">
        <v>19</v>
      </c>
    </row>
    <row r="246" customFormat="false" ht="15" hidden="false" customHeight="false" outlineLevel="0" collapsed="false">
      <c r="A246" s="2" t="n">
        <v>245</v>
      </c>
      <c r="B246" s="3" t="s">
        <v>293</v>
      </c>
      <c r="C246" s="2" t="s">
        <v>5</v>
      </c>
      <c r="D246" s="2" t="s">
        <v>33</v>
      </c>
    </row>
    <row r="247" customFormat="false" ht="26.85" hidden="false" customHeight="false" outlineLevel="0" collapsed="false">
      <c r="A247" s="2" t="n">
        <v>246</v>
      </c>
      <c r="B247" s="3" t="s">
        <v>294</v>
      </c>
      <c r="C247" s="2" t="s">
        <v>12</v>
      </c>
      <c r="D247" s="2" t="s">
        <v>95</v>
      </c>
    </row>
    <row r="248" customFormat="false" ht="26.85" hidden="false" customHeight="false" outlineLevel="0" collapsed="false">
      <c r="A248" s="2" t="n">
        <v>247</v>
      </c>
      <c r="B248" s="3" t="s">
        <v>295</v>
      </c>
      <c r="C248" s="2" t="s">
        <v>5</v>
      </c>
      <c r="D248" s="2" t="s">
        <v>10</v>
      </c>
    </row>
    <row r="249" customFormat="false" ht="52.2" hidden="false" customHeight="false" outlineLevel="0" collapsed="false">
      <c r="A249" s="2" t="n">
        <v>248</v>
      </c>
      <c r="B249" s="3" t="s">
        <v>296</v>
      </c>
      <c r="C249" s="2" t="s">
        <v>5</v>
      </c>
      <c r="D249" s="2" t="s">
        <v>19</v>
      </c>
    </row>
    <row r="250" customFormat="false" ht="26.85" hidden="false" customHeight="false" outlineLevel="0" collapsed="false">
      <c r="A250" s="2" t="n">
        <v>249</v>
      </c>
      <c r="B250" s="3" t="s">
        <v>297</v>
      </c>
      <c r="C250" s="2" t="s">
        <v>15</v>
      </c>
      <c r="D250" s="2" t="s">
        <v>21</v>
      </c>
    </row>
    <row r="251" customFormat="false" ht="52.2" hidden="false" customHeight="false" outlineLevel="0" collapsed="false">
      <c r="A251" s="2" t="n">
        <v>250</v>
      </c>
      <c r="B251" s="3" t="s">
        <v>298</v>
      </c>
      <c r="C251" s="2" t="s">
        <v>5</v>
      </c>
      <c r="D251" s="2" t="s">
        <v>299</v>
      </c>
    </row>
    <row r="252" customFormat="false" ht="15" hidden="false" customHeight="false" outlineLevel="0" collapsed="false">
      <c r="A252" s="2" t="n">
        <v>251</v>
      </c>
      <c r="B252" s="3" t="s">
        <v>300</v>
      </c>
      <c r="C252" s="2" t="s">
        <v>12</v>
      </c>
      <c r="D252" s="2" t="s">
        <v>19</v>
      </c>
    </row>
    <row r="253" customFormat="false" ht="15" hidden="false" customHeight="false" outlineLevel="0" collapsed="false">
      <c r="A253" s="2" t="n">
        <v>252</v>
      </c>
      <c r="B253" s="3" t="s">
        <v>301</v>
      </c>
      <c r="C253" s="2" t="s">
        <v>15</v>
      </c>
      <c r="D253" s="2" t="s">
        <v>8</v>
      </c>
    </row>
    <row r="254" customFormat="false" ht="26.85" hidden="false" customHeight="false" outlineLevel="0" collapsed="false">
      <c r="A254" s="2" t="n">
        <v>253</v>
      </c>
      <c r="B254" s="3" t="s">
        <v>302</v>
      </c>
      <c r="C254" s="2" t="s">
        <v>15</v>
      </c>
      <c r="D254" s="2" t="s">
        <v>92</v>
      </c>
    </row>
    <row r="255" customFormat="false" ht="15" hidden="false" customHeight="false" outlineLevel="0" collapsed="false">
      <c r="A255" s="2" t="n">
        <v>254</v>
      </c>
      <c r="B255" s="3" t="s">
        <v>303</v>
      </c>
      <c r="C255" s="2" t="s">
        <v>5</v>
      </c>
      <c r="D255" s="2" t="s">
        <v>33</v>
      </c>
    </row>
    <row r="256" customFormat="false" ht="26.85" hidden="false" customHeight="false" outlineLevel="0" collapsed="false">
      <c r="A256" s="2" t="n">
        <v>255</v>
      </c>
      <c r="B256" s="3" t="s">
        <v>304</v>
      </c>
      <c r="C256" s="2" t="s">
        <v>5</v>
      </c>
      <c r="D256" s="2" t="s">
        <v>21</v>
      </c>
    </row>
    <row r="257" customFormat="false" ht="26.85" hidden="false" customHeight="false" outlineLevel="0" collapsed="false">
      <c r="A257" s="2" t="n">
        <v>256</v>
      </c>
      <c r="B257" s="3" t="s">
        <v>305</v>
      </c>
      <c r="C257" s="2" t="s">
        <v>5</v>
      </c>
      <c r="D257" s="2" t="s">
        <v>31</v>
      </c>
    </row>
    <row r="258" customFormat="false" ht="26.85" hidden="false" customHeight="false" outlineLevel="0" collapsed="false">
      <c r="A258" s="2" t="n">
        <v>257</v>
      </c>
      <c r="B258" s="3" t="s">
        <v>306</v>
      </c>
      <c r="C258" s="2" t="s">
        <v>12</v>
      </c>
      <c r="D258" s="2" t="s">
        <v>50</v>
      </c>
    </row>
    <row r="259" customFormat="false" ht="26.85" hidden="false" customHeight="false" outlineLevel="0" collapsed="false">
      <c r="A259" s="2" t="n">
        <v>258</v>
      </c>
      <c r="B259" s="3" t="s">
        <v>307</v>
      </c>
      <c r="C259" s="2" t="s">
        <v>12</v>
      </c>
      <c r="D259" s="2" t="s">
        <v>308</v>
      </c>
    </row>
    <row r="260" customFormat="false" ht="15" hidden="false" customHeight="false" outlineLevel="0" collapsed="false">
      <c r="A260" s="2" t="n">
        <v>259</v>
      </c>
      <c r="B260" s="3" t="s">
        <v>309</v>
      </c>
      <c r="C260" s="2" t="s">
        <v>5</v>
      </c>
      <c r="D260" s="2" t="s">
        <v>234</v>
      </c>
    </row>
    <row r="261" customFormat="false" ht="15" hidden="false" customHeight="false" outlineLevel="0" collapsed="false">
      <c r="A261" s="2" t="n">
        <v>260</v>
      </c>
      <c r="B261" s="3" t="s">
        <v>310</v>
      </c>
      <c r="C261" s="2" t="s">
        <v>5</v>
      </c>
      <c r="D261" s="2" t="s">
        <v>8</v>
      </c>
    </row>
    <row r="262" customFormat="false" ht="15" hidden="false" customHeight="false" outlineLevel="0" collapsed="false">
      <c r="A262" s="2" t="n">
        <v>261</v>
      </c>
      <c r="B262" s="3" t="s">
        <v>311</v>
      </c>
      <c r="C262" s="2" t="s">
        <v>12</v>
      </c>
      <c r="D262" s="2" t="s">
        <v>21</v>
      </c>
    </row>
    <row r="263" customFormat="false" ht="26.85" hidden="false" customHeight="false" outlineLevel="0" collapsed="false">
      <c r="A263" s="2" t="n">
        <v>262</v>
      </c>
      <c r="B263" s="3" t="s">
        <v>312</v>
      </c>
      <c r="C263" s="2" t="s">
        <v>5</v>
      </c>
      <c r="D263" s="2" t="s">
        <v>17</v>
      </c>
    </row>
    <row r="264" customFormat="false" ht="26.85" hidden="false" customHeight="false" outlineLevel="0" collapsed="false">
      <c r="A264" s="2" t="n">
        <v>263</v>
      </c>
      <c r="B264" s="3" t="s">
        <v>313</v>
      </c>
      <c r="C264" s="2" t="s">
        <v>5</v>
      </c>
      <c r="D264" s="2" t="s">
        <v>10</v>
      </c>
    </row>
    <row r="265" customFormat="false" ht="15" hidden="false" customHeight="false" outlineLevel="0" collapsed="false">
      <c r="A265" s="2" t="n">
        <v>264</v>
      </c>
      <c r="B265" s="3" t="s">
        <v>314</v>
      </c>
      <c r="C265" s="2" t="s">
        <v>12</v>
      </c>
      <c r="D265" s="2" t="s">
        <v>21</v>
      </c>
    </row>
    <row r="266" customFormat="false" ht="15" hidden="false" customHeight="false" outlineLevel="0" collapsed="false">
      <c r="A266" s="2" t="n">
        <v>265</v>
      </c>
      <c r="B266" s="3" t="s">
        <v>315</v>
      </c>
      <c r="C266" s="2" t="s">
        <v>5</v>
      </c>
      <c r="D266" s="2" t="s">
        <v>33</v>
      </c>
    </row>
    <row r="267" customFormat="false" ht="15" hidden="false" customHeight="false" outlineLevel="0" collapsed="false">
      <c r="A267" s="2" t="n">
        <v>266</v>
      </c>
      <c r="B267" s="3" t="s">
        <v>316</v>
      </c>
      <c r="C267" s="2" t="s">
        <v>5</v>
      </c>
      <c r="D267" s="2" t="s">
        <v>8</v>
      </c>
    </row>
    <row r="268" customFormat="false" ht="15" hidden="false" customHeight="false" outlineLevel="0" collapsed="false">
      <c r="A268" s="2" t="n">
        <v>267</v>
      </c>
      <c r="B268" s="3" t="s">
        <v>317</v>
      </c>
      <c r="C268" s="2" t="s">
        <v>5</v>
      </c>
      <c r="D268" s="2" t="s">
        <v>17</v>
      </c>
    </row>
    <row r="269" customFormat="false" ht="26.85" hidden="false" customHeight="false" outlineLevel="0" collapsed="false">
      <c r="A269" s="2" t="n">
        <v>268</v>
      </c>
      <c r="B269" s="3" t="s">
        <v>318</v>
      </c>
      <c r="C269" s="2" t="s">
        <v>12</v>
      </c>
      <c r="D269" s="2" t="s">
        <v>19</v>
      </c>
    </row>
    <row r="270" customFormat="false" ht="39.55" hidden="false" customHeight="false" outlineLevel="0" collapsed="false">
      <c r="A270" s="2" t="n">
        <v>269</v>
      </c>
      <c r="B270" s="3" t="s">
        <v>319</v>
      </c>
      <c r="C270" s="2" t="s">
        <v>12</v>
      </c>
      <c r="D270" s="2" t="s">
        <v>320</v>
      </c>
    </row>
    <row r="271" customFormat="false" ht="15" hidden="false" customHeight="false" outlineLevel="0" collapsed="false">
      <c r="A271" s="2" t="n">
        <v>270</v>
      </c>
      <c r="B271" s="3" t="s">
        <v>321</v>
      </c>
      <c r="C271" s="2" t="s">
        <v>12</v>
      </c>
      <c r="D271" s="2" t="s">
        <v>322</v>
      </c>
    </row>
    <row r="272" customFormat="false" ht="26.85" hidden="false" customHeight="false" outlineLevel="0" collapsed="false">
      <c r="A272" s="2" t="n">
        <v>271</v>
      </c>
      <c r="B272" s="3" t="s">
        <v>323</v>
      </c>
      <c r="C272" s="2" t="s">
        <v>5</v>
      </c>
      <c r="D272" s="2" t="s">
        <v>33</v>
      </c>
    </row>
    <row r="273" customFormat="false" ht="15" hidden="false" customHeight="false" outlineLevel="0" collapsed="false">
      <c r="A273" s="2" t="n">
        <v>272</v>
      </c>
      <c r="B273" s="3" t="s">
        <v>324</v>
      </c>
      <c r="C273" s="2" t="s">
        <v>5</v>
      </c>
      <c r="D273" s="2" t="s">
        <v>17</v>
      </c>
    </row>
    <row r="274" customFormat="false" ht="15" hidden="false" customHeight="false" outlineLevel="0" collapsed="false">
      <c r="A274" s="2" t="n">
        <v>273</v>
      </c>
      <c r="B274" s="3" t="s">
        <v>325</v>
      </c>
      <c r="C274" s="2" t="s">
        <v>5</v>
      </c>
      <c r="D274" s="2" t="s">
        <v>33</v>
      </c>
    </row>
    <row r="275" customFormat="false" ht="26.85" hidden="false" customHeight="false" outlineLevel="0" collapsed="false">
      <c r="A275" s="2" t="n">
        <v>274</v>
      </c>
      <c r="B275" s="3" t="s">
        <v>326</v>
      </c>
      <c r="C275" s="2" t="s">
        <v>12</v>
      </c>
      <c r="D275" s="2" t="s">
        <v>26</v>
      </c>
    </row>
    <row r="276" customFormat="false" ht="15" hidden="false" customHeight="false" outlineLevel="0" collapsed="false">
      <c r="A276" s="2" t="n">
        <v>275</v>
      </c>
      <c r="B276" s="3" t="s">
        <v>327</v>
      </c>
      <c r="C276" s="2" t="s">
        <v>5</v>
      </c>
      <c r="D276" s="2" t="s">
        <v>90</v>
      </c>
    </row>
    <row r="277" customFormat="false" ht="39.55" hidden="false" customHeight="false" outlineLevel="0" collapsed="false">
      <c r="A277" s="2" t="n">
        <v>276</v>
      </c>
      <c r="B277" s="3" t="s">
        <v>328</v>
      </c>
      <c r="C277" s="2" t="s">
        <v>5</v>
      </c>
      <c r="D277" s="2" t="s">
        <v>19</v>
      </c>
    </row>
    <row r="278" customFormat="false" ht="15" hidden="false" customHeight="false" outlineLevel="0" collapsed="false">
      <c r="A278" s="2" t="n">
        <v>277</v>
      </c>
      <c r="B278" s="3" t="s">
        <v>329</v>
      </c>
      <c r="C278" s="2" t="s">
        <v>5</v>
      </c>
      <c r="D278" s="2" t="s">
        <v>10</v>
      </c>
    </row>
    <row r="279" customFormat="false" ht="26.85" hidden="false" customHeight="false" outlineLevel="0" collapsed="false">
      <c r="A279" s="2" t="n">
        <v>278</v>
      </c>
      <c r="B279" s="3" t="s">
        <v>330</v>
      </c>
      <c r="C279" s="2" t="s">
        <v>5</v>
      </c>
      <c r="D279" s="2" t="s">
        <v>21</v>
      </c>
    </row>
    <row r="280" customFormat="false" ht="15" hidden="false" customHeight="false" outlineLevel="0" collapsed="false">
      <c r="A280" s="2" t="n">
        <v>279</v>
      </c>
      <c r="B280" s="3" t="s">
        <v>331</v>
      </c>
      <c r="C280" s="2" t="s">
        <v>15</v>
      </c>
      <c r="D280" s="2" t="s">
        <v>33</v>
      </c>
    </row>
    <row r="281" customFormat="false" ht="26.85" hidden="false" customHeight="false" outlineLevel="0" collapsed="false">
      <c r="A281" s="2" t="n">
        <v>280</v>
      </c>
      <c r="B281" s="3" t="s">
        <v>332</v>
      </c>
      <c r="C281" s="2" t="s">
        <v>5</v>
      </c>
      <c r="D281" s="2" t="s">
        <v>10</v>
      </c>
    </row>
    <row r="282" customFormat="false" ht="15" hidden="false" customHeight="false" outlineLevel="0" collapsed="false">
      <c r="A282" s="2" t="n">
        <v>281</v>
      </c>
      <c r="B282" s="3" t="s">
        <v>333</v>
      </c>
      <c r="C282" s="2" t="s">
        <v>15</v>
      </c>
      <c r="D282" s="2" t="s">
        <v>26</v>
      </c>
    </row>
    <row r="283" customFormat="false" ht="26.85" hidden="false" customHeight="false" outlineLevel="0" collapsed="false">
      <c r="A283" s="2" t="n">
        <v>282</v>
      </c>
      <c r="B283" s="3" t="s">
        <v>334</v>
      </c>
      <c r="C283" s="2" t="s">
        <v>5</v>
      </c>
      <c r="D283" s="2" t="s">
        <v>171</v>
      </c>
    </row>
    <row r="284" customFormat="false" ht="15" hidden="false" customHeight="false" outlineLevel="0" collapsed="false">
      <c r="A284" s="2" t="n">
        <v>283</v>
      </c>
      <c r="B284" s="3" t="s">
        <v>335</v>
      </c>
      <c r="C284" s="2" t="s">
        <v>12</v>
      </c>
      <c r="D284" s="2" t="s">
        <v>19</v>
      </c>
    </row>
    <row r="285" customFormat="false" ht="26.85" hidden="false" customHeight="false" outlineLevel="0" collapsed="false">
      <c r="A285" s="2" t="n">
        <v>284</v>
      </c>
      <c r="B285" s="3" t="s">
        <v>336</v>
      </c>
      <c r="C285" s="2" t="s">
        <v>12</v>
      </c>
      <c r="D285" s="2" t="s">
        <v>19</v>
      </c>
    </row>
    <row r="286" customFormat="false" ht="26.85" hidden="false" customHeight="false" outlineLevel="0" collapsed="false">
      <c r="A286" s="2" t="n">
        <v>285</v>
      </c>
      <c r="B286" s="3" t="s">
        <v>337</v>
      </c>
      <c r="C286" s="2" t="s">
        <v>12</v>
      </c>
      <c r="D286" s="2" t="s">
        <v>10</v>
      </c>
    </row>
    <row r="287" customFormat="false" ht="15" hidden="false" customHeight="false" outlineLevel="0" collapsed="false">
      <c r="A287" s="2" t="n">
        <v>286</v>
      </c>
      <c r="B287" s="3" t="s">
        <v>338</v>
      </c>
      <c r="C287" s="2" t="s">
        <v>5</v>
      </c>
      <c r="D287" s="2" t="s">
        <v>17</v>
      </c>
    </row>
    <row r="288" customFormat="false" ht="52.2" hidden="false" customHeight="false" outlineLevel="0" collapsed="false">
      <c r="A288" s="2" t="n">
        <v>287</v>
      </c>
      <c r="B288" s="3" t="s">
        <v>339</v>
      </c>
      <c r="C288" s="2" t="s">
        <v>15</v>
      </c>
      <c r="D288" s="2" t="s">
        <v>340</v>
      </c>
    </row>
    <row r="289" customFormat="false" ht="26.85" hidden="false" customHeight="false" outlineLevel="0" collapsed="false">
      <c r="A289" s="2" t="n">
        <v>288</v>
      </c>
      <c r="B289" s="3" t="s">
        <v>341</v>
      </c>
      <c r="C289" s="2" t="s">
        <v>5</v>
      </c>
      <c r="D289" s="2" t="s">
        <v>121</v>
      </c>
    </row>
    <row r="290" customFormat="false" ht="15" hidden="false" customHeight="false" outlineLevel="0" collapsed="false">
      <c r="A290" s="2" t="n">
        <v>289</v>
      </c>
      <c r="B290" s="3" t="s">
        <v>342</v>
      </c>
      <c r="C290" s="2" t="s">
        <v>5</v>
      </c>
      <c r="D290" s="2" t="s">
        <v>33</v>
      </c>
    </row>
    <row r="291" customFormat="false" ht="26.85" hidden="false" customHeight="false" outlineLevel="0" collapsed="false">
      <c r="A291" s="2" t="n">
        <v>290</v>
      </c>
      <c r="B291" s="3" t="s">
        <v>343</v>
      </c>
      <c r="C291" s="2" t="s">
        <v>12</v>
      </c>
      <c r="D291" s="2" t="s">
        <v>320</v>
      </c>
    </row>
    <row r="292" customFormat="false" ht="26.85" hidden="false" customHeight="false" outlineLevel="0" collapsed="false">
      <c r="A292" s="2" t="n">
        <v>291</v>
      </c>
      <c r="B292" s="3" t="s">
        <v>344</v>
      </c>
      <c r="C292" s="2" t="s">
        <v>5</v>
      </c>
      <c r="D292" s="2" t="s">
        <v>29</v>
      </c>
    </row>
    <row r="293" customFormat="false" ht="15" hidden="false" customHeight="false" outlineLevel="0" collapsed="false">
      <c r="A293" s="2" t="n">
        <v>292</v>
      </c>
      <c r="B293" s="3" t="s">
        <v>345</v>
      </c>
      <c r="C293" s="2" t="s">
        <v>5</v>
      </c>
      <c r="D293" s="2" t="s">
        <v>8</v>
      </c>
    </row>
    <row r="294" customFormat="false" ht="15" hidden="false" customHeight="false" outlineLevel="0" collapsed="false">
      <c r="A294" s="2" t="n">
        <v>293</v>
      </c>
      <c r="B294" s="3" t="s">
        <v>346</v>
      </c>
      <c r="C294" s="2" t="s">
        <v>5</v>
      </c>
      <c r="D294" s="2" t="s">
        <v>10</v>
      </c>
    </row>
    <row r="295" customFormat="false" ht="15" hidden="false" customHeight="false" outlineLevel="0" collapsed="false">
      <c r="A295" s="2" t="n">
        <v>294</v>
      </c>
      <c r="B295" s="3" t="s">
        <v>347</v>
      </c>
      <c r="C295" s="2" t="s">
        <v>5</v>
      </c>
      <c r="D295" s="2" t="s">
        <v>72</v>
      </c>
    </row>
    <row r="296" customFormat="false" ht="15" hidden="false" customHeight="false" outlineLevel="0" collapsed="false">
      <c r="A296" s="2" t="n">
        <v>295</v>
      </c>
      <c r="B296" s="3" t="s">
        <v>348</v>
      </c>
      <c r="C296" s="2" t="s">
        <v>5</v>
      </c>
      <c r="D296" s="2" t="s">
        <v>50</v>
      </c>
    </row>
    <row r="297" customFormat="false" ht="15" hidden="false" customHeight="false" outlineLevel="0" collapsed="false">
      <c r="A297" s="2" t="n">
        <v>296</v>
      </c>
      <c r="B297" s="3" t="s">
        <v>349</v>
      </c>
      <c r="C297" s="2" t="s">
        <v>15</v>
      </c>
      <c r="D297" s="2" t="s">
        <v>8</v>
      </c>
    </row>
    <row r="298" customFormat="false" ht="26.85" hidden="false" customHeight="false" outlineLevel="0" collapsed="false">
      <c r="A298" s="2" t="n">
        <v>297</v>
      </c>
      <c r="B298" s="3" t="s">
        <v>350</v>
      </c>
      <c r="C298" s="2" t="s">
        <v>12</v>
      </c>
      <c r="D298" s="2" t="s">
        <v>26</v>
      </c>
    </row>
    <row r="299" customFormat="false" ht="26.85" hidden="false" customHeight="false" outlineLevel="0" collapsed="false">
      <c r="A299" s="2" t="n">
        <v>298</v>
      </c>
      <c r="B299" s="3" t="s">
        <v>351</v>
      </c>
      <c r="C299" s="2" t="s">
        <v>12</v>
      </c>
      <c r="D299" s="2" t="s">
        <v>19</v>
      </c>
    </row>
    <row r="300" customFormat="false" ht="26.85" hidden="false" customHeight="false" outlineLevel="0" collapsed="false">
      <c r="A300" s="2" t="n">
        <v>299</v>
      </c>
      <c r="B300" s="3" t="s">
        <v>352</v>
      </c>
      <c r="C300" s="2" t="s">
        <v>5</v>
      </c>
      <c r="D300" s="2" t="s">
        <v>72</v>
      </c>
    </row>
    <row r="301" customFormat="false" ht="15" hidden="false" customHeight="false" outlineLevel="0" collapsed="false">
      <c r="A301" s="2" t="n">
        <v>300</v>
      </c>
      <c r="B301" s="3" t="s">
        <v>353</v>
      </c>
      <c r="C301" s="2" t="s">
        <v>12</v>
      </c>
      <c r="D301" s="2" t="s">
        <v>21</v>
      </c>
    </row>
  </sheetData>
  <autoFilter ref="A1:D3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16"/>
  </cols>
  <sheetData>
    <row r="1" customFormat="false" ht="15" hidden="false" customHeight="false" outlineLevel="0" collapsed="false">
      <c r="A1" s="1" t="s">
        <v>354</v>
      </c>
      <c r="B1" s="1" t="s">
        <v>355</v>
      </c>
      <c r="C1" s="1" t="s">
        <v>356</v>
      </c>
      <c r="D1" s="1" t="s">
        <v>357</v>
      </c>
    </row>
    <row r="2" customFormat="false" ht="15" hidden="false" customHeight="false" outlineLevel="0" collapsed="false">
      <c r="A2" s="4" t="s">
        <v>8</v>
      </c>
      <c r="B2" s="4" t="n">
        <f aca="false">COUNTIF(Отзывы!D2:D301,"*Размер и посадка*")</f>
        <v>157</v>
      </c>
      <c r="C2" s="4" t="n">
        <f aca="false">COUNTIFS(Отзывы!D2:D301,"*Размер и посадка*",Отзывы!C2:C301,"отрицательный")</f>
        <v>67</v>
      </c>
      <c r="D2" s="5" t="n">
        <f aca="false">IF(B2=0,0,C2/B2)</f>
        <v>0.426751592356688</v>
      </c>
    </row>
    <row r="3" customFormat="false" ht="15" hidden="false" customHeight="false" outlineLevel="0" collapsed="false">
      <c r="A3" s="4" t="s">
        <v>21</v>
      </c>
      <c r="B3" s="4" t="n">
        <f aca="false">COUNTIF(Отзывы!D2:D301,"*Качество ткани и пошива*")</f>
        <v>187</v>
      </c>
      <c r="C3" s="4" t="n">
        <f aca="false">COUNTIFS(Отзывы!D2:D301,"*Качество ткани и пошива*",Отзывы!C2:C301,"отрицательный")</f>
        <v>92</v>
      </c>
      <c r="D3" s="5" t="n">
        <f aca="false">IF(B3=0,0,C3/B3)</f>
        <v>0.491978609625669</v>
      </c>
    </row>
    <row r="4" customFormat="false" ht="15" hidden="false" customHeight="false" outlineLevel="0" collapsed="false">
      <c r="A4" s="4" t="s">
        <v>72</v>
      </c>
      <c r="B4" s="4" t="n">
        <f aca="false">COUNTIF(Отзывы!D2:D301,"*Соответствие фото и описанию*")</f>
        <v>42</v>
      </c>
      <c r="C4" s="4" t="n">
        <f aca="false">COUNTIFS(Отзывы!D2:D301,"*Соответствие фото и описанию*",Отзывы!C2:C301,"отрицательный")</f>
        <v>30</v>
      </c>
      <c r="D4" s="5" t="n">
        <f aca="false">IF(B4=0,0,C4/B4)</f>
        <v>0.714285714285714</v>
      </c>
    </row>
    <row r="5" customFormat="false" ht="15" hidden="false" customHeight="false" outlineLevel="0" collapsed="false">
      <c r="A5" s="4" t="s">
        <v>358</v>
      </c>
      <c r="B5" s="4" t="n">
        <f aca="false">COUNTIF(Отзывы!D2:D301,"*Цвет*")</f>
        <v>26</v>
      </c>
      <c r="C5" s="4" t="n">
        <f aca="false">COUNTIFS(Отзывы!D2:D301,"*Цвет*",Отзывы!C2:C301,"отрицательный")</f>
        <v>14</v>
      </c>
      <c r="D5" s="5" t="n">
        <f aca="false">IF(B5=0,0,C5/B5)</f>
        <v>0.538461538461538</v>
      </c>
    </row>
    <row r="6" customFormat="false" ht="15" hidden="false" customHeight="false" outlineLevel="0" collapsed="false">
      <c r="A6" s="4" t="s">
        <v>17</v>
      </c>
      <c r="B6" s="4" t="n">
        <f aca="false">COUNTIF(Отзывы!D2:D301,"*Доставка и упаковка*")</f>
        <v>133</v>
      </c>
      <c r="C6" s="4" t="n">
        <f aca="false">COUNTIFS(Отзывы!D2:D301,"*Доставка и упаковка*",Отзывы!C2:C301,"отрицательный")</f>
        <v>58</v>
      </c>
      <c r="D6" s="5" t="n">
        <f aca="false">IF(B6=0,0,C6/B6)</f>
        <v>0.43609022556391</v>
      </c>
    </row>
    <row r="7" customFormat="false" ht="15" hidden="false" customHeight="false" outlineLevel="0" collapsed="false">
      <c r="A7" s="4" t="s">
        <v>359</v>
      </c>
      <c r="B7" s="4" t="n">
        <f aca="false">COUNTIF(Отзывы!D2:D301,"*Цена*")</f>
        <v>23</v>
      </c>
      <c r="C7" s="4" t="n">
        <f aca="false">COUNTIFS(Отзывы!D2:D301,"*Цена*",Отзывы!C2:C301,"отрицательный")</f>
        <v>14</v>
      </c>
      <c r="D7" s="5" t="n">
        <f aca="false">IF(B7=0,0,C7/B7)</f>
        <v>0.608695652173913</v>
      </c>
    </row>
    <row r="8" customFormat="false" ht="15" hidden="false" customHeight="false" outlineLevel="0" collapsed="false">
      <c r="A8" s="4" t="s">
        <v>150</v>
      </c>
      <c r="B8" s="4" t="n">
        <f aca="false">COUNTIF(Отзывы!D2:D301,"*Другое*")</f>
        <v>42</v>
      </c>
      <c r="C8" s="4" t="n">
        <f aca="false">COUNTIFS(Отзывы!D2:D301,"*Другое*",Отзывы!C2:C301,"отрицательный")</f>
        <v>34</v>
      </c>
      <c r="D8" s="5" t="n">
        <f aca="false">IF(B8=0,0,C8/B8)</f>
        <v>0.80952380952381</v>
      </c>
    </row>
    <row r="9" customFormat="false" ht="15" hidden="false" customHeight="false" outlineLevel="0" collapsed="false">
      <c r="A9" s="4"/>
      <c r="B9" s="4"/>
      <c r="C9" s="4"/>
      <c r="D9" s="4"/>
    </row>
    <row r="10" customFormat="false" ht="15" hidden="false" customHeight="false" outlineLevel="0" collapsed="false">
      <c r="A10" s="4" t="s">
        <v>360</v>
      </c>
      <c r="B10" s="4" t="n">
        <f aca="false">COUNTIF(Отзывы!C2:C301,"положительный")</f>
        <v>98</v>
      </c>
      <c r="C10" s="4"/>
      <c r="D10" s="4"/>
    </row>
    <row r="11" customFormat="false" ht="15" hidden="false" customHeight="false" outlineLevel="0" collapsed="false">
      <c r="A11" s="4" t="s">
        <v>361</v>
      </c>
      <c r="B11" s="4" t="n">
        <f aca="false">COUNTIF(Отзывы!C2:C301,"нейтральный")</f>
        <v>40</v>
      </c>
      <c r="C11" s="4"/>
      <c r="D11" s="4"/>
    </row>
    <row r="12" customFormat="false" ht="15" hidden="false" customHeight="false" outlineLevel="0" collapsed="false">
      <c r="A12" s="4" t="s">
        <v>362</v>
      </c>
      <c r="B12" s="4" t="n">
        <f aca="false">COUNTIF(Отзывы!C2:C301,"отрицательный")</f>
        <v>162</v>
      </c>
      <c r="C12" s="4"/>
      <c r="D12" s="4"/>
    </row>
    <row r="13" customFormat="false" ht="15" hidden="false" customHeight="false" outlineLevel="0" collapsed="false">
      <c r="A13" s="4" t="s">
        <v>363</v>
      </c>
      <c r="B13" s="4" t="n">
        <f aca="false">SUM(B10:B12)</f>
        <v>300</v>
      </c>
      <c r="C13" s="4"/>
      <c r="D13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3" min="3" style="0" width="100"/>
  </cols>
  <sheetData>
    <row r="1" customFormat="false" ht="15" hidden="false" customHeight="false" outlineLevel="0" collapsed="false">
      <c r="A1" s="1" t="s">
        <v>354</v>
      </c>
      <c r="B1" s="1" t="s">
        <v>364</v>
      </c>
      <c r="C1" s="1" t="s">
        <v>365</v>
      </c>
    </row>
    <row r="2" customFormat="false" ht="52.2" hidden="false" customHeight="false" outlineLevel="0" collapsed="false">
      <c r="A2" s="3" t="s">
        <v>21</v>
      </c>
      <c r="B2" s="3" t="n">
        <v>92</v>
      </c>
      <c r="C2" s="3" t="s">
        <v>366</v>
      </c>
    </row>
    <row r="3" customFormat="false" ht="52.2" hidden="false" customHeight="false" outlineLevel="0" collapsed="false">
      <c r="A3" s="3" t="s">
        <v>8</v>
      </c>
      <c r="B3" s="3" t="n">
        <v>67</v>
      </c>
      <c r="C3" s="3" t="s">
        <v>367</v>
      </c>
    </row>
    <row r="4" customFormat="false" ht="26.85" hidden="false" customHeight="false" outlineLevel="0" collapsed="false">
      <c r="A4" s="3" t="s">
        <v>17</v>
      </c>
      <c r="B4" s="3" t="n">
        <v>58</v>
      </c>
      <c r="C4" s="3" t="s">
        <v>368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2026-10-07T20:38:06Z</dcterms:created>
  <dc:creator>openpyxl</dc:creator>
  <dc:description/>
  <dc:language>en-US</dc:language>
  <cp:lastModifiedBy/>
  <dcterms:modified xsi:type="dcterms:W3CDTF">2026-10-07T20:38:06Z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